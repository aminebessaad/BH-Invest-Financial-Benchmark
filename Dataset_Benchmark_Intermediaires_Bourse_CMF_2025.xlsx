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tek Store\Downloads\"/>
    </mc:Choice>
  </mc:AlternateContent>
  <xr:revisionPtr revIDLastSave="0" documentId="13_ncr:1_{E89801A3-AE51-4353-9A26-BE66FFA4D1CD}" xr6:coauthVersionLast="47" xr6:coauthVersionMax="47" xr10:uidLastSave="{00000000-0000-0000-0000-000000000000}"/>
  <bookViews>
    <workbookView xWindow="-110" yWindow="-110" windowWidth="19420" windowHeight="10300" firstSheet="9" activeTab="12" xr2:uid="{00000000-000D-0000-FFFF-FFFF00000000}"/>
  </bookViews>
  <sheets>
    <sheet name="Données financières brutes" sheetId="1" r:id="rId1"/>
    <sheet name="Données financières 2025" sheetId="12" r:id="rId2"/>
    <sheet name="CA" sheetId="10" r:id="rId3"/>
    <sheet name="ROE" sheetId="4" r:id="rId4"/>
    <sheet name="Ch. Personnel" sheetId="5" r:id="rId5"/>
    <sheet name="Marge Nette" sheetId="6" r:id="rId6"/>
    <sheet name="Poids Immob. Fin." sheetId="7" r:id="rId7"/>
    <sheet name="Coeff. Exploit." sheetId="8" r:id="rId8"/>
    <sheet name="Poids Prod. Placement" sheetId="9" r:id="rId9"/>
    <sheet name="Poids Prod. Plac. Rés" sheetId="13" r:id="rId10"/>
    <sheet name="Comp. CA" sheetId="2" r:id="rId11"/>
    <sheet name="RECAP" sheetId="3" r:id="rId12"/>
    <sheet name="Autres analyses" sheetId="11" r:id="rId13"/>
  </sheets>
  <definedNames>
    <definedName name="_xlnm._FilterDatabase" localSheetId="0" hidden="1">'Données financières brutes'!#REF!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1" l="1"/>
  <c r="K5" i="3"/>
  <c r="K6" i="3"/>
  <c r="K8" i="3"/>
  <c r="K9" i="3"/>
  <c r="J6" i="3"/>
  <c r="E23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F22" i="11"/>
  <c r="F21" i="11"/>
  <c r="F19" i="11"/>
  <c r="C23" i="11" l="1"/>
  <c r="G23" i="11" s="1"/>
  <c r="B23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20" i="11"/>
  <c r="F6" i="11"/>
  <c r="C21" i="10"/>
  <c r="B21" i="10"/>
  <c r="AI4" i="3"/>
  <c r="AI5" i="3"/>
  <c r="AI6" i="3"/>
  <c r="AI9" i="3"/>
  <c r="AH4" i="3"/>
  <c r="AH6" i="3"/>
  <c r="O53" i="2"/>
  <c r="N53" i="2"/>
  <c r="AH5" i="3"/>
  <c r="AH9" i="3"/>
  <c r="AG4" i="3"/>
  <c r="AG5" i="3"/>
  <c r="AG6" i="3"/>
  <c r="AG7" i="3"/>
  <c r="AG8" i="3"/>
  <c r="AG9" i="3"/>
  <c r="AF9" i="3"/>
  <c r="AF8" i="3"/>
  <c r="AF6" i="3"/>
  <c r="AF5" i="3"/>
  <c r="AF4" i="3"/>
  <c r="AF7" i="3"/>
  <c r="AK4" i="3"/>
  <c r="AK5" i="3"/>
  <c r="AK6" i="3"/>
  <c r="AK8" i="3"/>
  <c r="AK9" i="3"/>
  <c r="AJ6" i="3"/>
  <c r="AD4" i="3"/>
  <c r="AA4" i="3"/>
  <c r="AA5" i="3"/>
  <c r="AA6" i="3"/>
  <c r="AA7" i="3"/>
  <c r="AA8" i="3"/>
  <c r="AA9" i="3"/>
  <c r="Z8" i="3"/>
  <c r="Z4" i="3"/>
  <c r="W4" i="3"/>
  <c r="W5" i="3"/>
  <c r="W6" i="3"/>
  <c r="W7" i="3"/>
  <c r="W8" i="3"/>
  <c r="W9" i="3"/>
  <c r="V8" i="3"/>
  <c r="O4" i="3"/>
  <c r="O5" i="3"/>
  <c r="O6" i="3"/>
  <c r="O8" i="3"/>
  <c r="O9" i="3"/>
  <c r="N4" i="3"/>
  <c r="N8" i="3"/>
  <c r="N6" i="3"/>
  <c r="H6" i="3"/>
  <c r="I6" i="3"/>
  <c r="H8" i="3"/>
  <c r="H5" i="3"/>
  <c r="I5" i="3"/>
  <c r="C21" i="13"/>
  <c r="E11" i="13" s="1"/>
  <c r="B21" i="13"/>
  <c r="D8" i="13" s="1"/>
  <c r="C20" i="13"/>
  <c r="B20" i="13"/>
  <c r="C19" i="13"/>
  <c r="B19" i="13"/>
  <c r="C18" i="13"/>
  <c r="B18" i="13"/>
  <c r="C17" i="13"/>
  <c r="B17" i="13"/>
  <c r="D17" i="13" s="1"/>
  <c r="C16" i="13"/>
  <c r="B16" i="13"/>
  <c r="C15" i="13"/>
  <c r="B15" i="13"/>
  <c r="C14" i="13"/>
  <c r="E14" i="13" s="1"/>
  <c r="B14" i="13"/>
  <c r="C13" i="13"/>
  <c r="E13" i="13" s="1"/>
  <c r="B13" i="13"/>
  <c r="D13" i="13" s="1"/>
  <c r="C12" i="13"/>
  <c r="B12" i="13"/>
  <c r="C11" i="13"/>
  <c r="B11" i="13"/>
  <c r="C10" i="13"/>
  <c r="B10" i="13"/>
  <c r="C8" i="13"/>
  <c r="B8" i="13"/>
  <c r="C6" i="13"/>
  <c r="B6" i="13"/>
  <c r="C5" i="13"/>
  <c r="B5" i="13"/>
  <c r="D5" i="13" s="1"/>
  <c r="C4" i="13"/>
  <c r="B4" i="13"/>
  <c r="E17" i="13"/>
  <c r="D14" i="13"/>
  <c r="C3" i="13"/>
  <c r="B3" i="13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C8" i="9"/>
  <c r="B8" i="9"/>
  <c r="C6" i="9"/>
  <c r="B6" i="9"/>
  <c r="C5" i="9"/>
  <c r="B5" i="9"/>
  <c r="C4" i="9"/>
  <c r="B4" i="9"/>
  <c r="C3" i="9"/>
  <c r="B3" i="9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5" i="8"/>
  <c r="B5" i="8"/>
  <c r="C4" i="8"/>
  <c r="B4" i="8"/>
  <c r="C3" i="8"/>
  <c r="B3" i="8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C4" i="6"/>
  <c r="B4" i="6"/>
  <c r="C3" i="6"/>
  <c r="B3" i="6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3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B3" i="4"/>
  <c r="D3" i="4" s="1"/>
  <c r="J20" i="12"/>
  <c r="I20" i="12"/>
  <c r="H20" i="12"/>
  <c r="G20" i="12"/>
  <c r="F20" i="12"/>
  <c r="E20" i="12"/>
  <c r="D20" i="12"/>
  <c r="C20" i="12"/>
  <c r="B20" i="12"/>
  <c r="AD15" i="3"/>
  <c r="AC15" i="3"/>
  <c r="AB15" i="3"/>
  <c r="AJ8" i="3"/>
  <c r="AJ5" i="3"/>
  <c r="AE4" i="3"/>
  <c r="AE5" i="3"/>
  <c r="AE9" i="3"/>
  <c r="AD5" i="3"/>
  <c r="AC4" i="3"/>
  <c r="AC5" i="3"/>
  <c r="AC6" i="3"/>
  <c r="AC7" i="3"/>
  <c r="AC8" i="3"/>
  <c r="AB6" i="3"/>
  <c r="AP6" i="3" s="1"/>
  <c r="AB5" i="3"/>
  <c r="Z7" i="3"/>
  <c r="Z6" i="3"/>
  <c r="Z5" i="3"/>
  <c r="Y4" i="3"/>
  <c r="Y5" i="3"/>
  <c r="Y7" i="3"/>
  <c r="Y8" i="3"/>
  <c r="X8" i="3"/>
  <c r="X7" i="3"/>
  <c r="X5" i="3"/>
  <c r="X4" i="3"/>
  <c r="V6" i="3"/>
  <c r="V5" i="3"/>
  <c r="AL5" i="3" s="1"/>
  <c r="B21" i="3" s="1"/>
  <c r="V4" i="3"/>
  <c r="U4" i="3"/>
  <c r="U5" i="3"/>
  <c r="U6" i="3"/>
  <c r="U8" i="3"/>
  <c r="T8" i="3"/>
  <c r="T6" i="3"/>
  <c r="T5" i="3"/>
  <c r="S4" i="3"/>
  <c r="S5" i="3"/>
  <c r="S6" i="3"/>
  <c r="S7" i="3"/>
  <c r="S8" i="3"/>
  <c r="S9" i="3"/>
  <c r="R8" i="3"/>
  <c r="R7" i="3"/>
  <c r="R6" i="3"/>
  <c r="R5" i="3"/>
  <c r="R4" i="3"/>
  <c r="Q4" i="3"/>
  <c r="Q5" i="3"/>
  <c r="Q6" i="3"/>
  <c r="Q8" i="3"/>
  <c r="P8" i="3"/>
  <c r="P6" i="3"/>
  <c r="P5" i="3"/>
  <c r="P4" i="3"/>
  <c r="N5" i="3"/>
  <c r="M4" i="3"/>
  <c r="M5" i="3"/>
  <c r="M6" i="3"/>
  <c r="M8" i="3"/>
  <c r="M9" i="3"/>
  <c r="L8" i="3"/>
  <c r="L6" i="3"/>
  <c r="L5" i="3"/>
  <c r="J8" i="3"/>
  <c r="J5" i="3"/>
  <c r="I4" i="3"/>
  <c r="I8" i="3"/>
  <c r="G4" i="3"/>
  <c r="G5" i="3"/>
  <c r="G6" i="3"/>
  <c r="F6" i="3"/>
  <c r="F5" i="3"/>
  <c r="F4" i="3"/>
  <c r="E4" i="3"/>
  <c r="E5" i="3"/>
  <c r="E6" i="3"/>
  <c r="E7" i="3"/>
  <c r="E8" i="3"/>
  <c r="D8" i="3"/>
  <c r="D6" i="3"/>
  <c r="D5" i="3"/>
  <c r="C4" i="3"/>
  <c r="C5" i="3"/>
  <c r="C6" i="3"/>
  <c r="C7" i="3"/>
  <c r="AM7" i="3" s="1"/>
  <c r="C23" i="3" s="1"/>
  <c r="C8" i="3"/>
  <c r="B6" i="3"/>
  <c r="B5" i="3"/>
  <c r="B4" i="3"/>
  <c r="B7" i="3"/>
  <c r="B8" i="3"/>
  <c r="F23" i="11" l="1"/>
  <c r="AM6" i="3"/>
  <c r="C22" i="3" s="1"/>
  <c r="E19" i="13"/>
  <c r="E4" i="13"/>
  <c r="E15" i="13"/>
  <c r="D10" i="13"/>
  <c r="D18" i="13"/>
  <c r="E5" i="13"/>
  <c r="E10" i="13"/>
  <c r="E18" i="13"/>
  <c r="D4" i="13"/>
  <c r="D11" i="13"/>
  <c r="D15" i="13"/>
  <c r="D19" i="13"/>
  <c r="D6" i="13"/>
  <c r="D16" i="13"/>
  <c r="E12" i="13"/>
  <c r="E3" i="13"/>
  <c r="E8" i="13"/>
  <c r="D3" i="13"/>
  <c r="D12" i="13"/>
  <c r="D20" i="13"/>
  <c r="E6" i="13"/>
  <c r="E16" i="13"/>
  <c r="E20" i="13"/>
  <c r="AM4" i="3"/>
  <c r="C20" i="3" s="1"/>
  <c r="AP5" i="3"/>
  <c r="AQ5" i="3" s="1"/>
  <c r="AM8" i="3"/>
  <c r="C24" i="3" s="1"/>
  <c r="AM5" i="3"/>
  <c r="C21" i="3" s="1"/>
  <c r="AL6" i="3"/>
  <c r="AC9" i="3"/>
  <c r="U9" i="3"/>
  <c r="C9" i="3"/>
  <c r="Y9" i="3"/>
  <c r="E9" i="3"/>
  <c r="I9" i="3"/>
  <c r="Q9" i="3"/>
  <c r="G9" i="3"/>
  <c r="AQ6" i="3" l="1"/>
  <c r="B22" i="3"/>
  <c r="AM9" i="3"/>
  <c r="C25" i="3" s="1"/>
  <c r="E23" i="3" s="1"/>
  <c r="AR6" i="3"/>
  <c r="AS6" i="3" s="1"/>
  <c r="E20" i="3" l="1"/>
  <c r="E24" i="3"/>
  <c r="E21" i="3"/>
  <c r="E22" i="3"/>
  <c r="O41" i="2"/>
  <c r="K25" i="2"/>
  <c r="K6" i="2"/>
  <c r="G33" i="2"/>
  <c r="G24" i="2"/>
  <c r="G12" i="2"/>
  <c r="F12" i="2"/>
  <c r="B55" i="2"/>
  <c r="C55" i="2"/>
  <c r="C23" i="2"/>
  <c r="C9" i="2"/>
  <c r="K51" i="2"/>
  <c r="C36" i="2"/>
  <c r="K39" i="2"/>
  <c r="J16" i="2"/>
  <c r="K16" i="2"/>
  <c r="O32" i="2"/>
  <c r="O11" i="2"/>
  <c r="O19" i="2"/>
  <c r="G48" i="2"/>
  <c r="F48" i="2"/>
  <c r="N41" i="2"/>
  <c r="N32" i="2"/>
  <c r="N19" i="2"/>
  <c r="N11" i="2"/>
  <c r="J51" i="2"/>
  <c r="J39" i="2"/>
  <c r="J25" i="2"/>
  <c r="J6" i="2"/>
  <c r="F33" i="2"/>
  <c r="F24" i="2"/>
  <c r="B36" i="2"/>
  <c r="B23" i="2"/>
  <c r="B9" i="2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E18" i="9" l="1"/>
  <c r="E11" i="8"/>
  <c r="D14" i="6"/>
  <c r="D5" i="8"/>
  <c r="E20" i="4"/>
  <c r="D15" i="6"/>
  <c r="D19" i="9"/>
  <c r="D15" i="7"/>
  <c r="E13" i="7"/>
  <c r="E9" i="7"/>
  <c r="E10" i="7"/>
  <c r="D13" i="6"/>
  <c r="D19" i="6"/>
  <c r="D11" i="6"/>
  <c r="E15" i="6"/>
  <c r="E6" i="5"/>
  <c r="D7" i="5"/>
  <c r="D6" i="7" l="1"/>
  <c r="E14" i="9"/>
  <c r="E4" i="9"/>
  <c r="E3" i="9"/>
  <c r="D14" i="7"/>
  <c r="E10" i="9"/>
  <c r="D12" i="7"/>
  <c r="E12" i="9"/>
  <c r="E13" i="9"/>
  <c r="E20" i="9"/>
  <c r="D8" i="7"/>
  <c r="E11" i="9"/>
  <c r="D3" i="7"/>
  <c r="E17" i="9"/>
  <c r="D19" i="7"/>
  <c r="E6" i="9"/>
  <c r="D18" i="7"/>
  <c r="E15" i="9"/>
  <c r="D12" i="8"/>
  <c r="D7" i="7"/>
  <c r="D9" i="7"/>
  <c r="E8" i="9"/>
  <c r="E16" i="9"/>
  <c r="D20" i="6"/>
  <c r="E5" i="9"/>
  <c r="D16" i="7"/>
  <c r="E19" i="9"/>
  <c r="D20" i="9"/>
  <c r="D9" i="8"/>
  <c r="D5" i="6"/>
  <c r="D16" i="6"/>
  <c r="D9" i="6"/>
  <c r="D17" i="6"/>
  <c r="E3" i="8"/>
  <c r="D10" i="6"/>
  <c r="D8" i="6"/>
  <c r="D7" i="8"/>
  <c r="D12" i="6"/>
  <c r="D6" i="6"/>
  <c r="D3" i="6"/>
  <c r="D18" i="6"/>
  <c r="D4" i="6"/>
  <c r="D7" i="6"/>
  <c r="D15" i="8"/>
  <c r="E12" i="4"/>
  <c r="E17" i="4"/>
  <c r="E4" i="4"/>
  <c r="E5" i="4"/>
  <c r="E6" i="4"/>
  <c r="E11" i="4"/>
  <c r="E13" i="4"/>
  <c r="E14" i="4"/>
  <c r="D5" i="9"/>
  <c r="D17" i="9"/>
  <c r="D6" i="9"/>
  <c r="D10" i="9"/>
  <c r="D11" i="9"/>
  <c r="D12" i="9"/>
  <c r="D14" i="8"/>
  <c r="D19" i="8"/>
  <c r="D4" i="8"/>
  <c r="D20" i="8"/>
  <c r="D13" i="8"/>
  <c r="D18" i="8"/>
  <c r="D17" i="8"/>
  <c r="D3" i="8"/>
  <c r="D6" i="8"/>
  <c r="E16" i="7"/>
  <c r="E19" i="7"/>
  <c r="E7" i="4"/>
  <c r="E15" i="4"/>
  <c r="E18" i="4"/>
  <c r="E16" i="4"/>
  <c r="E9" i="4"/>
  <c r="E8" i="4"/>
  <c r="E10" i="4"/>
  <c r="E19" i="4"/>
  <c r="E3" i="4"/>
  <c r="E9" i="8"/>
  <c r="E10" i="8"/>
  <c r="E6" i="8"/>
  <c r="E17" i="8"/>
  <c r="E15" i="8"/>
  <c r="E19" i="8"/>
  <c r="E18" i="8"/>
  <c r="E4" i="8"/>
  <c r="E20" i="8"/>
  <c r="E16" i="8"/>
  <c r="E12" i="8"/>
  <c r="E5" i="8"/>
  <c r="E8" i="8"/>
  <c r="E14" i="8"/>
  <c r="E7" i="8"/>
  <c r="E13" i="5"/>
  <c r="E11" i="5"/>
  <c r="E13" i="8"/>
  <c r="D4" i="9"/>
  <c r="D3" i="9"/>
  <c r="D16" i="9"/>
  <c r="D14" i="9"/>
  <c r="D15" i="9"/>
  <c r="D10" i="8"/>
  <c r="D11" i="8"/>
  <c r="D16" i="8"/>
  <c r="D6" i="5"/>
  <c r="D8" i="8"/>
  <c r="E4" i="7"/>
  <c r="D5" i="7"/>
  <c r="E18" i="7"/>
  <c r="E6" i="7"/>
  <c r="E15" i="7"/>
  <c r="D17" i="7"/>
  <c r="E14" i="7"/>
  <c r="D13" i="9"/>
  <c r="D18" i="9"/>
  <c r="E12" i="7"/>
  <c r="E11" i="7"/>
  <c r="E3" i="7"/>
  <c r="D20" i="7"/>
  <c r="D4" i="7"/>
  <c r="E8" i="7"/>
  <c r="E7" i="7"/>
  <c r="E5" i="7"/>
  <c r="D13" i="7"/>
  <c r="D11" i="7"/>
  <c r="D8" i="9"/>
  <c r="E20" i="7"/>
  <c r="E17" i="7"/>
  <c r="D10" i="7"/>
  <c r="D17" i="5"/>
  <c r="D11" i="5"/>
  <c r="E16" i="5"/>
  <c r="D5" i="5"/>
  <c r="E12" i="5"/>
  <c r="E5" i="5"/>
  <c r="D18" i="5"/>
  <c r="D16" i="5"/>
  <c r="D15" i="5"/>
  <c r="D13" i="5"/>
  <c r="E3" i="5"/>
  <c r="D10" i="5"/>
  <c r="D3" i="5"/>
  <c r="D20" i="5"/>
  <c r="D19" i="5"/>
  <c r="E15" i="5"/>
  <c r="D8" i="5"/>
  <c r="E8" i="5"/>
  <c r="E9" i="5"/>
  <c r="E7" i="5"/>
  <c r="E18" i="5"/>
  <c r="E19" i="5"/>
  <c r="D9" i="5"/>
  <c r="E16" i="6"/>
  <c r="E7" i="6"/>
  <c r="E8" i="6"/>
  <c r="E9" i="6"/>
  <c r="E10" i="6"/>
  <c r="E18" i="6"/>
  <c r="E13" i="6"/>
  <c r="E4" i="6"/>
  <c r="E6" i="6"/>
  <c r="E17" i="6"/>
  <c r="E19" i="6"/>
  <c r="E20" i="6"/>
  <c r="E3" i="6"/>
  <c r="E11" i="6"/>
  <c r="E12" i="6"/>
  <c r="E14" i="6"/>
  <c r="E5" i="6"/>
  <c r="E14" i="5"/>
  <c r="E4" i="5"/>
  <c r="D4" i="5"/>
  <c r="D14" i="5"/>
  <c r="E17" i="5"/>
  <c r="D12" i="5"/>
  <c r="E10" i="5"/>
  <c r="E20" i="5"/>
  <c r="AJ4" i="3"/>
  <c r="AB8" i="3"/>
  <c r="AB7" i="3"/>
  <c r="AB4" i="3"/>
  <c r="AL8" i="3"/>
  <c r="B24" i="3" s="1"/>
  <c r="V7" i="3"/>
  <c r="T4" i="3"/>
  <c r="P9" i="3"/>
  <c r="L4" i="3"/>
  <c r="H4" i="3"/>
  <c r="D7" i="3"/>
  <c r="D4" i="3"/>
  <c r="B21" i="1"/>
  <c r="D9" i="3" l="1"/>
  <c r="AL4" i="3"/>
  <c r="B20" i="3" s="1"/>
  <c r="AL7" i="3"/>
  <c r="B23" i="3" s="1"/>
  <c r="T9" i="3"/>
  <c r="N9" i="3"/>
  <c r="Z9" i="3"/>
  <c r="B9" i="3"/>
  <c r="AJ9" i="3"/>
  <c r="J9" i="3"/>
  <c r="H9" i="3"/>
  <c r="X9" i="3"/>
  <c r="AB9" i="3"/>
  <c r="L9" i="3"/>
  <c r="F9" i="3"/>
  <c r="V9" i="3"/>
  <c r="R9" i="3"/>
  <c r="AD9" i="3"/>
  <c r="AL9" i="3" l="1"/>
  <c r="B25" i="3" s="1"/>
  <c r="D20" i="3" s="1"/>
  <c r="D18" i="4"/>
  <c r="D19" i="4"/>
  <c r="D10" i="4"/>
  <c r="D11" i="4"/>
  <c r="D13" i="4"/>
  <c r="D15" i="4"/>
  <c r="D16" i="4"/>
  <c r="D8" i="4"/>
  <c r="D9" i="4"/>
  <c r="D20" i="4"/>
  <c r="D12" i="4"/>
  <c r="D14" i="4"/>
  <c r="D4" i="4"/>
  <c r="D5" i="4"/>
  <c r="D6" i="4"/>
  <c r="D7" i="4"/>
  <c r="D17" i="4"/>
  <c r="D23" i="3" l="1"/>
  <c r="D21" i="3"/>
  <c r="D24" i="3"/>
  <c r="D22" i="3"/>
  <c r="AN9" i="3"/>
  <c r="AN5" i="3"/>
  <c r="AN6" i="3"/>
  <c r="AN8" i="3"/>
  <c r="AN7" i="3"/>
  <c r="AN4" i="3"/>
</calcChain>
</file>

<file path=xl/sharedStrings.xml><?xml version="1.0" encoding="utf-8"?>
<sst xmlns="http://schemas.openxmlformats.org/spreadsheetml/2006/main" count="507" uniqueCount="208">
  <si>
    <t>Société</t>
  </si>
  <si>
    <t>Cap. Propores (MD)</t>
  </si>
  <si>
    <t>CA (MD)</t>
  </si>
  <si>
    <t>Résultat Net (MD)</t>
  </si>
  <si>
    <t>Total Bilan (MD)</t>
  </si>
  <si>
    <t>Immob. Fin. (MD)</t>
  </si>
  <si>
    <t>Ch. Personnel</t>
  </si>
  <si>
    <t>Ch. Exploit.</t>
  </si>
  <si>
    <t>Rés. Exploit.</t>
  </si>
  <si>
    <t>Prod. Placement</t>
  </si>
  <si>
    <t>Amen Invest</t>
  </si>
  <si>
    <t>BNA Capitaux</t>
  </si>
  <si>
    <t>BTK Conseil</t>
  </si>
  <si>
    <t>CGI</t>
  </si>
  <si>
    <t>MAC SA</t>
  </si>
  <si>
    <t>MAXULA</t>
  </si>
  <si>
    <t>SBT</t>
  </si>
  <si>
    <t xml:space="preserve">STB Finance </t>
  </si>
  <si>
    <t>Union Capital</t>
  </si>
  <si>
    <t>UFI</t>
  </si>
  <si>
    <t>N/D</t>
  </si>
  <si>
    <t>ROE (%)</t>
  </si>
  <si>
    <t>vs Moyenne</t>
  </si>
  <si>
    <t>Moyenne</t>
  </si>
  <si>
    <t>Total</t>
  </si>
  <si>
    <t>Marge Nette (%)</t>
  </si>
  <si>
    <t>Coeff. Exploit. (%)</t>
  </si>
  <si>
    <t>Ratio Ch. Personnel (%)</t>
  </si>
  <si>
    <t>Poids Immob. Fin. (%)</t>
  </si>
  <si>
    <t>Poids Prod. Placement (%)</t>
  </si>
  <si>
    <t>AFC</t>
  </si>
  <si>
    <t>MCP</t>
  </si>
  <si>
    <t>UIB Finance</t>
  </si>
  <si>
    <t>Attijari Intermed.</t>
  </si>
  <si>
    <t>Commissions sur les transactions boursières et de gestion des comptes titres</t>
  </si>
  <si>
    <t>Commissions sur placement d’obligations</t>
  </si>
  <si>
    <t>Commissions de Gestion des OPCVM</t>
  </si>
  <si>
    <t>Commissions de Gestion des comptes gérés</t>
  </si>
  <si>
    <t>Commissions sur tenue de registre des actionnaires</t>
  </si>
  <si>
    <t>Assistance administrative et comptable des OPCVMs</t>
  </si>
  <si>
    <t>Honoraires d'études</t>
  </si>
  <si>
    <t>Courtages</t>
  </si>
  <si>
    <t>Fonds FCP &amp; SICAV</t>
  </si>
  <si>
    <t>Commissions de placement</t>
  </si>
  <si>
    <t xml:space="preserve">Produits sur comptes gérés </t>
  </si>
  <si>
    <t>Courtage électronique</t>
  </si>
  <si>
    <t xml:space="preserve">Courtage hors cote </t>
  </si>
  <si>
    <t>Courtage sur OPV</t>
  </si>
  <si>
    <t>Produits d'études</t>
  </si>
  <si>
    <t xml:space="preserve">Produits tenue de registre </t>
  </si>
  <si>
    <t xml:space="preserve">Divers </t>
  </si>
  <si>
    <t>Commissions sur émissions des emprunts</t>
  </si>
  <si>
    <t>Commissions de gestion et de garde</t>
  </si>
  <si>
    <t>Commissions sur achat en bourse</t>
  </si>
  <si>
    <t>Commissions sur vente en bourse</t>
  </si>
  <si>
    <t>Comissions sur OPV</t>
  </si>
  <si>
    <t>Commissions sur encaissement dividendes</t>
  </si>
  <si>
    <t>Commission / études</t>
  </si>
  <si>
    <t>Frais d'ouverture et de clôture</t>
  </si>
  <si>
    <t>Commission de transfert</t>
  </si>
  <si>
    <t>Autres produits</t>
  </si>
  <si>
    <t>Commissions de gestion / ATG</t>
  </si>
  <si>
    <r>
      <t>Commissions diverses compte</t>
    </r>
    <r>
      <rPr>
        <sz val="10"/>
        <color theme="1"/>
        <rFont val="Calibri"/>
        <family val="2"/>
        <scheme val="minor"/>
      </rPr>
      <t xml:space="preserve"> titres</t>
    </r>
    <r>
      <rPr>
        <sz val="11"/>
        <color theme="1"/>
        <rFont val="Calibri"/>
        <family val="2"/>
        <scheme val="minor"/>
      </rPr>
      <t xml:space="preserve"> (FTC ect…)</t>
    </r>
  </si>
  <si>
    <t>Attijari Itermediation</t>
  </si>
  <si>
    <t>BH Invest</t>
  </si>
  <si>
    <t>Retrocession des commissions gestion SICAV</t>
  </si>
  <si>
    <t>Produits sur opérations avec la client</t>
  </si>
  <si>
    <t>Produits sur opérations OPCVM</t>
  </si>
  <si>
    <t>Commission d'ouverture de compte</t>
  </si>
  <si>
    <t>Commission d'encaissement de coupon</t>
  </si>
  <si>
    <t>Commission de clôture de compte</t>
  </si>
  <si>
    <t>Commission de tenue de compte</t>
  </si>
  <si>
    <t>Commissions de transfert de portefeuille</t>
  </si>
  <si>
    <t>Commissions sur remboursement d'emprunt</t>
  </si>
  <si>
    <t>Commissions sur services à l'émetteur</t>
  </si>
  <si>
    <t>Comm sur placement et gestion d'emprunt</t>
  </si>
  <si>
    <t>Autres services rendues</t>
  </si>
  <si>
    <t>Retrocession FCRA FGO</t>
  </si>
  <si>
    <t>Commissions de gestion de SICAV</t>
  </si>
  <si>
    <t>Commissions de gestion de FCP</t>
  </si>
  <si>
    <t xml:space="preserve"> Commission d'attribution d'action</t>
  </si>
  <si>
    <t xml:space="preserve">Courtage sur clients </t>
  </si>
  <si>
    <t>Commission de gestion OPCVM</t>
  </si>
  <si>
    <t>Commission sur service à l'émetteur</t>
  </si>
  <si>
    <t>Commission de placement d'emprunt</t>
  </si>
  <si>
    <t>Commission de tenue de comptes</t>
  </si>
  <si>
    <t>Commission d'encaissement de coupons</t>
  </si>
  <si>
    <t>Commission de remboursement emprunt obligataire</t>
  </si>
  <si>
    <t>Commission de distribution OPCVM</t>
  </si>
  <si>
    <t>étude et Ingénierie</t>
  </si>
  <si>
    <t>Autres revenus (Contrats gérés, com. distribution, clôtures cptes)</t>
  </si>
  <si>
    <t xml:space="preserve">Commissions de montage &amp; de gestion d'emprunts </t>
  </si>
  <si>
    <t>Commissions prestation de service (conseil financier)</t>
  </si>
  <si>
    <t>Commissions de gestion SICAV</t>
  </si>
  <si>
    <t>Commissions de gestion FCP</t>
  </si>
  <si>
    <t>Commissions de gestion portefeuilles clients</t>
  </si>
  <si>
    <t>Commissions d'ouverture et de clôture de comptes</t>
  </si>
  <si>
    <t xml:space="preserve">Diverses commissions </t>
  </si>
  <si>
    <t>Commissions pour services financiers</t>
  </si>
  <si>
    <t>Commissions de transactions boursières</t>
  </si>
  <si>
    <t>Commissions de placements de billets de trésorerie</t>
  </si>
  <si>
    <t>Commissions d'études</t>
  </si>
  <si>
    <t>Commissions de gestion des OPCVM</t>
  </si>
  <si>
    <t xml:space="preserve">Jetons de présence </t>
  </si>
  <si>
    <t xml:space="preserve">Commissions sur les transactions boursières </t>
  </si>
  <si>
    <t>Commissions de gestion des comptes titres</t>
  </si>
  <si>
    <t>Commissions de tenue de comptes</t>
  </si>
  <si>
    <t>Commissions sur transfert de comptes</t>
  </si>
  <si>
    <t>Commissions de tenue de registres</t>
  </si>
  <si>
    <t>Commissions de gestion FIDELITY</t>
  </si>
  <si>
    <t>Commissionsde gestion FIDELITY SICAV PLUS</t>
  </si>
  <si>
    <t>Commissions de gestion des FCP</t>
  </si>
  <si>
    <t>Rémunérations d'études, de conseils et d'ingénierie financière</t>
  </si>
  <si>
    <t>Autres</t>
  </si>
  <si>
    <t>Courtage / opération transaction</t>
  </si>
  <si>
    <t>Produits / Fermetures de comptes</t>
  </si>
  <si>
    <t xml:space="preserve">Produits / Frais de garde et de gestion </t>
  </si>
  <si>
    <t>Produits / Frais de gestion des OPVCM</t>
  </si>
  <si>
    <t>études, montages et prestation de services</t>
  </si>
  <si>
    <t xml:space="preserve">Commission de superformance </t>
  </si>
  <si>
    <t>Courtage JB</t>
  </si>
  <si>
    <t>Commission de placements</t>
  </si>
  <si>
    <t xml:space="preserve">Courtage enregistrement </t>
  </si>
  <si>
    <t xml:space="preserve">Autres revenus </t>
  </si>
  <si>
    <t xml:space="preserve">Autres produits d'exploitation </t>
  </si>
  <si>
    <t>Courtages sur opération de bourse</t>
  </si>
  <si>
    <t>Commission de gestion SICAV CROISSANCE</t>
  </si>
  <si>
    <t>Commission de gestion SICAV RENDEMENT</t>
  </si>
  <si>
    <t>Commission de gestion FCP CEA BT</t>
  </si>
  <si>
    <t>Commission de gestion SICAV</t>
  </si>
  <si>
    <t>CAPITALISATION PLUS</t>
  </si>
  <si>
    <t>STB</t>
  </si>
  <si>
    <t>Commissions sur les transactions boursières</t>
  </si>
  <si>
    <t>Commissions sur détachement de dividendes</t>
  </si>
  <si>
    <t>Commissions de tenue de compte</t>
  </si>
  <si>
    <t>Commissions sur transfert de compte</t>
  </si>
  <si>
    <t>Commissions d'ouverture et de clôture de compte</t>
  </si>
  <si>
    <t>Commissions de placements</t>
  </si>
  <si>
    <t>Commissions sur détachement des coupons</t>
  </si>
  <si>
    <t>Tunisie Valeurs</t>
  </si>
  <si>
    <t>Commissions sur les transactions boursières et gestion des comptes titres</t>
  </si>
  <si>
    <t>Commissions sur placements d'obligations</t>
  </si>
  <si>
    <t>Commission de courtage OPCVM</t>
  </si>
  <si>
    <t>Commissions de distribution OPCVM</t>
  </si>
  <si>
    <t>Droits de garde</t>
  </si>
  <si>
    <t>Etudes et assistances</t>
  </si>
  <si>
    <t>Revenus Mise à disposition du personnel</t>
  </si>
  <si>
    <t>Exportation de services</t>
  </si>
  <si>
    <t>Autres revenus</t>
  </si>
  <si>
    <t>UIB</t>
  </si>
  <si>
    <t>Commissions de gestion OPCVM</t>
  </si>
  <si>
    <t>Commission de courtage</t>
  </si>
  <si>
    <t>Commissions sur les transactions boursières et de gestion comptes titres</t>
  </si>
  <si>
    <t>Commissions de placement d'emprunts obligataires</t>
  </si>
  <si>
    <t>Commissions activité Bourse</t>
  </si>
  <si>
    <t>Commissions de Tenue de registre</t>
  </si>
  <si>
    <t>Commissions de placement des EO / EMP NAT</t>
  </si>
  <si>
    <t>Commissions T.clearing</t>
  </si>
  <si>
    <t>Assistance Montage et conduite</t>
  </si>
  <si>
    <t>Frais de Gestion OPCVM</t>
  </si>
  <si>
    <t>Frais de Distributeurs OPCVM</t>
  </si>
  <si>
    <t>Frais de Gestion des filiales</t>
  </si>
  <si>
    <t>Frais de Gestion du portefeuille</t>
  </si>
  <si>
    <t>Frais de dépositaires UTP</t>
  </si>
  <si>
    <t>Bourse</t>
  </si>
  <si>
    <t>Commissions de gestion</t>
  </si>
  <si>
    <t>Assistance</t>
  </si>
  <si>
    <t>Dividendes</t>
  </si>
  <si>
    <t>Commissions rétrocédées</t>
  </si>
  <si>
    <t>Commission sur transaction boursière</t>
  </si>
  <si>
    <t>Commission sur étude et analyse</t>
  </si>
  <si>
    <t>Commission de tenue de registre</t>
  </si>
  <si>
    <t>Détail chiffre d'affaires (en MD)</t>
  </si>
  <si>
    <t xml:space="preserve">MAXULA </t>
  </si>
  <si>
    <t>AMEN INVEST</t>
  </si>
  <si>
    <t>TUNISIE VALEURS</t>
  </si>
  <si>
    <t>ATTIJARI INTER</t>
  </si>
  <si>
    <t>BTK CONSEIL</t>
  </si>
  <si>
    <t>UIB FINANCE</t>
  </si>
  <si>
    <t>STB FINANCE</t>
  </si>
  <si>
    <t>UNION CAPITAL</t>
  </si>
  <si>
    <t>BH INVEST</t>
  </si>
  <si>
    <t>Commissions de SUCCES</t>
  </si>
  <si>
    <t>TOTAL</t>
  </si>
  <si>
    <t>BMCE</t>
  </si>
  <si>
    <t>FINACORP</t>
  </si>
  <si>
    <t>Commissions de distribution des OPC</t>
  </si>
  <si>
    <t>Courtage</t>
  </si>
  <si>
    <t>Commissions de clôture des comptes</t>
  </si>
  <si>
    <t>Commissions sur transfert des comptes</t>
  </si>
  <si>
    <t>Commissions sur tenue des comptes</t>
  </si>
  <si>
    <t>Commissions sur tenue des registres d'actionnaires</t>
  </si>
  <si>
    <t>Commissions sur courtages divers</t>
  </si>
  <si>
    <t>Honoraires d'assistance</t>
  </si>
  <si>
    <t>Courtage sur transactions</t>
  </si>
  <si>
    <t>Produits des activites annexes</t>
  </si>
  <si>
    <t>Chiffre d'affaires à l'export</t>
  </si>
  <si>
    <t>Commissions</t>
  </si>
  <si>
    <t>Dividendes reçues</t>
  </si>
  <si>
    <t>Produits sur cession de valeurs mobilières</t>
  </si>
  <si>
    <t>Plus-value de réévaluation du portefeuille</t>
  </si>
  <si>
    <t>Autres produits d'exploitation</t>
  </si>
  <si>
    <t>CA</t>
  </si>
  <si>
    <t>TVAL</t>
  </si>
  <si>
    <t>Sociétés</t>
  </si>
  <si>
    <t>Commission de gestion OPCVM en MD</t>
  </si>
  <si>
    <t>Actifs Gérés</t>
  </si>
  <si>
    <t>Taux de commission 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</si>
</sst>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4">
    <xf numFmtId="0" fontId="0" fillId="0" borderId="0" xfId="0"/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64" fontId="5" fillId="3" borderId="1" xfId="0" applyNumberFormat="1" applyFont="1" applyFill="1" applyBorder="1"/>
    <xf numFmtId="9" fontId="5" fillId="0" borderId="0" xfId="1" applyFont="1"/>
    <xf numFmtId="0" fontId="0" fillId="2" borderId="1" xfId="0" applyFill="1" applyBorder="1"/>
    <xf numFmtId="164" fontId="1" fillId="0" borderId="1" xfId="0" applyNumberFormat="1" applyFont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7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164" fontId="10" fillId="0" borderId="1" xfId="0" applyNumberFormat="1" applyFont="1" applyBorder="1" applyAlignment="1">
      <alignment horizontal="center" vertical="center"/>
    </xf>
    <xf numFmtId="164" fontId="9" fillId="7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2" fontId="6" fillId="7" borderId="0" xfId="0" applyNumberFormat="1" applyFon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2" fillId="6" borderId="1" xfId="0" applyFont="1" applyFill="1" applyBorder="1"/>
    <xf numFmtId="164" fontId="12" fillId="6" borderId="1" xfId="0" applyNumberFormat="1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1" xfId="0" applyFont="1" applyFill="1" applyBorder="1"/>
    <xf numFmtId="0" fontId="6" fillId="6" borderId="1" xfId="0" applyFont="1" applyFill="1" applyBorder="1" applyAlignment="1">
      <alignment horizontal="center"/>
    </xf>
    <xf numFmtId="0" fontId="8" fillId="6" borderId="1" xfId="0" applyFont="1" applyFill="1" applyBorder="1"/>
    <xf numFmtId="0" fontId="10" fillId="0" borderId="1" xfId="0" applyFont="1" applyBorder="1"/>
    <xf numFmtId="164" fontId="10" fillId="0" borderId="1" xfId="0" applyNumberFormat="1" applyFont="1" applyBorder="1"/>
    <xf numFmtId="164" fontId="10" fillId="3" borderId="1" xfId="0" applyNumberFormat="1" applyFont="1" applyFill="1" applyBorder="1"/>
    <xf numFmtId="0" fontId="10" fillId="0" borderId="0" xfId="0" applyFont="1"/>
    <xf numFmtId="9" fontId="0" fillId="0" borderId="0" xfId="1" applyFont="1"/>
    <xf numFmtId="0" fontId="5" fillId="0" borderId="0" xfId="0" applyFont="1" applyAlignment="1">
      <alignment horizontal="center"/>
    </xf>
    <xf numFmtId="0" fontId="5" fillId="0" borderId="0" xfId="0" applyFont="1"/>
    <xf numFmtId="10" fontId="4" fillId="0" borderId="0" xfId="1" applyNumberFormat="1" applyFont="1" applyAlignment="1">
      <alignment horizontal="center"/>
    </xf>
    <xf numFmtId="0" fontId="5" fillId="0" borderId="1" xfId="0" applyFont="1" applyBorder="1"/>
    <xf numFmtId="0" fontId="6" fillId="7" borderId="1" xfId="0" applyFont="1" applyFill="1" applyBorder="1"/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6" fillId="7" borderId="0" xfId="0" applyNumberFormat="1" applyFont="1" applyFill="1" applyAlignment="1">
      <alignment horizontal="center" vertical="center"/>
    </xf>
    <xf numFmtId="10" fontId="0" fillId="5" borderId="0" xfId="0" applyNumberFormat="1" applyFill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10" fontId="6" fillId="7" borderId="0" xfId="1" applyNumberFormat="1" applyFont="1" applyFill="1" applyAlignment="1">
      <alignment horizontal="center" vertical="center"/>
    </xf>
    <xf numFmtId="10" fontId="0" fillId="5" borderId="0" xfId="1" applyNumberFormat="1" applyFont="1" applyFill="1" applyAlignment="1">
      <alignment horizontal="center" vertical="center"/>
    </xf>
    <xf numFmtId="10" fontId="11" fillId="0" borderId="0" xfId="1" applyNumberFormat="1" applyFont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0" fontId="6" fillId="7" borderId="1" xfId="1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0" fontId="8" fillId="6" borderId="1" xfId="1" applyNumberFormat="1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8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0000CC"/>
      <color rgb="FFFC1010"/>
      <color rgb="FF0541FF"/>
      <color rgb="FFEE1EE4"/>
      <color rgb="FFFFE1F9"/>
      <color rgb="FF990000"/>
      <color rgb="FF0000FF"/>
      <color rgb="FF808080"/>
      <color rgb="FF333333"/>
      <color rgb="FFFFE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RECAP!$B$19</c:f>
              <c:strCache>
                <c:ptCount val="1"/>
                <c:pt idx="0">
                  <c:v>2025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6FD-472B-A0DB-A4083FAAA8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6FD-472B-A0DB-A4083FAAA8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6FD-472B-A0DB-A4083FAAA8F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6FD-472B-A0DB-A4083FAAA8F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6FD-472B-A0DB-A4083FAAA8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RECAP!$A$20:$A$24</c:f>
              <c:strCache>
                <c:ptCount val="5"/>
                <c:pt idx="0">
                  <c:v>Commission de gestion OPCVM</c:v>
                </c:pt>
                <c:pt idx="1">
                  <c:v>Commission de courtage</c:v>
                </c:pt>
                <c:pt idx="2">
                  <c:v>Commission sur transaction boursière</c:v>
                </c:pt>
                <c:pt idx="3">
                  <c:v>Commission de tenue de registre</c:v>
                </c:pt>
                <c:pt idx="4">
                  <c:v>Commission sur étude et analyse</c:v>
                </c:pt>
              </c:strCache>
            </c:strRef>
          </c:cat>
          <c:val>
            <c:numRef>
              <c:f>RECAP!$B$20:$B$24</c:f>
              <c:numCache>
                <c:formatCode>0.000</c:formatCode>
                <c:ptCount val="5"/>
                <c:pt idx="0">
                  <c:v>39.428999999999995</c:v>
                </c:pt>
                <c:pt idx="1">
                  <c:v>18.905999999999995</c:v>
                </c:pt>
                <c:pt idx="2">
                  <c:v>21.741175000000002</c:v>
                </c:pt>
                <c:pt idx="3">
                  <c:v>0.48599999999999999</c:v>
                </c:pt>
                <c:pt idx="4">
                  <c:v>9.3239999999999981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3-41D9-AAD9-8F79C22D7D3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RECAP!$C$19</c:f>
              <c:strCache>
                <c:ptCount val="1"/>
                <c:pt idx="0">
                  <c:v>2024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237-4132-AFCE-F9C56ACF79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237-4132-AFCE-F9C56ACF79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237-4132-AFCE-F9C56ACF79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237-4132-AFCE-F9C56ACF79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237-4132-AFCE-F9C56ACF79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RECAP!$A$20:$A$24</c:f>
              <c:strCache>
                <c:ptCount val="5"/>
                <c:pt idx="0">
                  <c:v>Commission de gestion OPCVM</c:v>
                </c:pt>
                <c:pt idx="1">
                  <c:v>Commission de courtage</c:v>
                </c:pt>
                <c:pt idx="2">
                  <c:v>Commission sur transaction boursière</c:v>
                </c:pt>
                <c:pt idx="3">
                  <c:v>Commission de tenue de registre</c:v>
                </c:pt>
                <c:pt idx="4">
                  <c:v>Commission sur étude et analyse</c:v>
                </c:pt>
              </c:strCache>
            </c:strRef>
          </c:cat>
          <c:val>
            <c:numRef>
              <c:f>RECAP!$C$20:$C$24</c:f>
              <c:numCache>
                <c:formatCode>0.000</c:formatCode>
                <c:ptCount val="5"/>
                <c:pt idx="0">
                  <c:v>30.954000000000008</c:v>
                </c:pt>
                <c:pt idx="1">
                  <c:v>11.437999999999999</c:v>
                </c:pt>
                <c:pt idx="2">
                  <c:v>9.7006999999999994</c:v>
                </c:pt>
                <c:pt idx="3">
                  <c:v>0.47200000000000003</c:v>
                </c:pt>
                <c:pt idx="4">
                  <c:v>38.224000000000004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9-4919-9764-FD040B0E5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426-4274-B4F4-AF3D9C7FFB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426-4274-B4F4-AF3D9C7FFB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426-4274-B4F4-AF3D9C7FFB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426-4274-B4F4-AF3D9C7FFB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426-4274-B4F4-AF3D9C7FFB2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426-4274-B4F4-AF3D9C7FFB2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426-4274-B4F4-AF3D9C7FFB2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426-4274-B4F4-AF3D9C7FFB2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426-4274-B4F4-AF3D9C7FFB2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426-4274-B4F4-AF3D9C7FFB2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426-4274-B4F4-AF3D9C7FFB2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426-4274-B4F4-AF3D9C7FFB2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8426-4274-B4F4-AF3D9C7FFB2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7AC8-40CB-A411-D4D330F4C41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7AC8-40CB-A411-D4D330F4C41C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7AC8-40CB-A411-D4D330F4C41C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7AC8-40CB-A411-D4D330F4C41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'Autres analyses'!$A$6:$A$22</c:f>
              <c:strCache>
                <c:ptCount val="16"/>
                <c:pt idx="0">
                  <c:v>MAC SA</c:v>
                </c:pt>
                <c:pt idx="1">
                  <c:v>TUNISIE VALEURS</c:v>
                </c:pt>
                <c:pt idx="2">
                  <c:v>AFC</c:v>
                </c:pt>
                <c:pt idx="3">
                  <c:v>UFI</c:v>
                </c:pt>
                <c:pt idx="4">
                  <c:v>BNA Capitaux</c:v>
                </c:pt>
                <c:pt idx="5">
                  <c:v>STB FINANCE</c:v>
                </c:pt>
                <c:pt idx="6">
                  <c:v>UNION CAPITAL</c:v>
                </c:pt>
                <c:pt idx="7">
                  <c:v>SBT</c:v>
                </c:pt>
                <c:pt idx="8">
                  <c:v>MAXULA </c:v>
                </c:pt>
                <c:pt idx="9">
                  <c:v>BH INVEST</c:v>
                </c:pt>
                <c:pt idx="10">
                  <c:v>AMEN INVEST</c:v>
                </c:pt>
                <c:pt idx="11">
                  <c:v>UIB FINANCE</c:v>
                </c:pt>
                <c:pt idx="12">
                  <c:v>BTK CONSEIL</c:v>
                </c:pt>
                <c:pt idx="13">
                  <c:v>CGI</c:v>
                </c:pt>
                <c:pt idx="14">
                  <c:v>FINACORP</c:v>
                </c:pt>
                <c:pt idx="15">
                  <c:v>BMCE</c:v>
                </c:pt>
              </c:strCache>
            </c:strRef>
          </c:cat>
          <c:val>
            <c:numRef>
              <c:f>'Autres analyses'!$B$6:$B$22</c:f>
              <c:numCache>
                <c:formatCode>General</c:formatCode>
                <c:ptCount val="16"/>
                <c:pt idx="0">
                  <c:v>9.0129999999999999</c:v>
                </c:pt>
                <c:pt idx="1">
                  <c:v>8.2919999999999998</c:v>
                </c:pt>
                <c:pt idx="2">
                  <c:v>3.8969999999999998</c:v>
                </c:pt>
                <c:pt idx="3">
                  <c:v>3.8959999999999999</c:v>
                </c:pt>
                <c:pt idx="4">
                  <c:v>3.4449999999999998</c:v>
                </c:pt>
                <c:pt idx="5">
                  <c:v>1.956</c:v>
                </c:pt>
                <c:pt idx="6">
                  <c:v>1.671</c:v>
                </c:pt>
                <c:pt idx="7">
                  <c:v>1.5019999999999998</c:v>
                </c:pt>
                <c:pt idx="8">
                  <c:v>1.2210000000000001</c:v>
                </c:pt>
                <c:pt idx="9">
                  <c:v>1.2170000000000001</c:v>
                </c:pt>
                <c:pt idx="10">
                  <c:v>1.0589999999999999</c:v>
                </c:pt>
                <c:pt idx="11">
                  <c:v>0.89800000000000002</c:v>
                </c:pt>
                <c:pt idx="12">
                  <c:v>0.85500000000000009</c:v>
                </c:pt>
                <c:pt idx="13">
                  <c:v>5.1999999999999998E-2</c:v>
                </c:pt>
                <c:pt idx="14">
                  <c:v>0.13500000000000001</c:v>
                </c:pt>
                <c:pt idx="15">
                  <c:v>0.107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2-4E27-B2FD-064583B0A4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5D2-4736-8EA6-66C651D13C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5D2-4736-8EA6-66C651D13C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5D2-4736-8EA6-66C651D13C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5D2-4736-8EA6-66C651D13C8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5D2-4736-8EA6-66C651D13C8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5D2-4736-8EA6-66C651D13C8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5D2-4736-8EA6-66C651D13C8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5D2-4736-8EA6-66C651D13C8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5D2-4736-8EA6-66C651D13C8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5D2-4736-8EA6-66C651D13C8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5D2-4736-8EA6-66C651D13C8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5D2-4736-8EA6-66C651D13C8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D5D2-4736-8EA6-66C651D13C8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D5D2-4736-8EA6-66C651D13C8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D5D2-4736-8EA6-66C651D13C82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D5D2-4736-8EA6-66C651D13C82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D5D2-4736-8EA6-66C651D13C82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'Autres analyses'!$A$6:$A$22</c:f>
              <c:strCache>
                <c:ptCount val="16"/>
                <c:pt idx="0">
                  <c:v>MAC SA</c:v>
                </c:pt>
                <c:pt idx="1">
                  <c:v>TUNISIE VALEURS</c:v>
                </c:pt>
                <c:pt idx="2">
                  <c:v>AFC</c:v>
                </c:pt>
                <c:pt idx="3">
                  <c:v>UFI</c:v>
                </c:pt>
                <c:pt idx="4">
                  <c:v>BNA Capitaux</c:v>
                </c:pt>
                <c:pt idx="5">
                  <c:v>STB FINANCE</c:v>
                </c:pt>
                <c:pt idx="6">
                  <c:v>UNION CAPITAL</c:v>
                </c:pt>
                <c:pt idx="7">
                  <c:v>SBT</c:v>
                </c:pt>
                <c:pt idx="8">
                  <c:v>MAXULA </c:v>
                </c:pt>
                <c:pt idx="9">
                  <c:v>BH INVEST</c:v>
                </c:pt>
                <c:pt idx="10">
                  <c:v>AMEN INVEST</c:v>
                </c:pt>
                <c:pt idx="11">
                  <c:v>UIB FINANCE</c:v>
                </c:pt>
                <c:pt idx="12">
                  <c:v>BTK CONSEIL</c:v>
                </c:pt>
                <c:pt idx="13">
                  <c:v>CGI</c:v>
                </c:pt>
                <c:pt idx="14">
                  <c:v>FINACORP</c:v>
                </c:pt>
                <c:pt idx="15">
                  <c:v>BMCE</c:v>
                </c:pt>
              </c:strCache>
            </c:strRef>
          </c:cat>
          <c:val>
            <c:numRef>
              <c:f>'Autres analyses'!$C$6:$C$22</c:f>
              <c:numCache>
                <c:formatCode>General</c:formatCode>
                <c:ptCount val="16"/>
                <c:pt idx="0">
                  <c:v>7.2110000000000003</c:v>
                </c:pt>
                <c:pt idx="1">
                  <c:v>7.1210000000000004</c:v>
                </c:pt>
                <c:pt idx="2">
                  <c:v>2.3090000000000002</c:v>
                </c:pt>
                <c:pt idx="3">
                  <c:v>3.6459999999999999</c:v>
                </c:pt>
                <c:pt idx="4">
                  <c:v>2.7310000000000003</c:v>
                </c:pt>
                <c:pt idx="5">
                  <c:v>1.6120000000000001</c:v>
                </c:pt>
                <c:pt idx="6">
                  <c:v>1.0249999999999999</c:v>
                </c:pt>
                <c:pt idx="7">
                  <c:v>1.0359999999999998</c:v>
                </c:pt>
                <c:pt idx="8">
                  <c:v>1.0529999999999999</c:v>
                </c:pt>
                <c:pt idx="9">
                  <c:v>0.96399999999999997</c:v>
                </c:pt>
                <c:pt idx="10">
                  <c:v>0.78300000000000003</c:v>
                </c:pt>
                <c:pt idx="11">
                  <c:v>0.70399999999999996</c:v>
                </c:pt>
                <c:pt idx="12">
                  <c:v>0.34200000000000003</c:v>
                </c:pt>
                <c:pt idx="13">
                  <c:v>5.0999999999999997E-2</c:v>
                </c:pt>
                <c:pt idx="14">
                  <c:v>0.109</c:v>
                </c:pt>
                <c:pt idx="1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B-4FA9-A85B-3122D6D45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612775</xdr:colOff>
      <xdr:row>11</xdr:row>
      <xdr:rowOff>60325</xdr:rowOff>
    </xdr:from>
    <xdr:to>
      <xdr:col>10</xdr:col>
      <xdr:colOff>625475</xdr:colOff>
      <xdr:row>25</xdr:row>
      <xdr:rowOff>174625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16B758-D0EC-05EA-5E8E-14974C1BD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263525</xdr:colOff>
      <xdr:row>11</xdr:row>
      <xdr:rowOff>73025</xdr:rowOff>
    </xdr:from>
    <xdr:to>
      <xdr:col>17</xdr:col>
      <xdr:colOff>136525</xdr:colOff>
      <xdr:row>26</xdr:row>
      <xdr:rowOff>3175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0F5F10-0AB5-45B2-DA38-8CC5EC13EB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137270</xdr:colOff>
      <xdr:row>24</xdr:row>
      <xdr:rowOff>9338</xdr:rowOff>
    </xdr:from>
    <xdr:to>
      <xdr:col>19</xdr:col>
      <xdr:colOff>444501</xdr:colOff>
      <xdr:row>61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2D5E2A-37F6-39F6-6D9E-70E84321A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269875</xdr:colOff>
      <xdr:row>24</xdr:row>
      <xdr:rowOff>31750</xdr:rowOff>
    </xdr:from>
    <xdr:to>
      <xdr:col>44</xdr:col>
      <xdr:colOff>587374</xdr:colOff>
      <xdr:row>63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44B9B1-8EB8-DC93-6BEB-086DE7C34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zoomScale="47" zoomScaleNormal="47" zoomScalePageLayoutView="65" workbookViewId="0">
      <selection activeCell="D21" sqref="D21:E21"/>
    </sheetView>
  </sheetViews>
  <sheetFormatPr defaultColWidth="10.7265625" defaultRowHeight="14.5" x14ac:dyDescent="0.35"/>
  <cols>
    <col min="1" max="1" width="17.7265625" bestFit="1" customWidth="1"/>
    <col min="2" max="3" width="24.7265625" customWidth="1"/>
    <col min="4" max="5" width="27" customWidth="1"/>
    <col min="6" max="7" width="28" customWidth="1"/>
    <col min="8" max="9" width="15.54296875" customWidth="1"/>
    <col min="10" max="11" width="24.81640625" customWidth="1"/>
    <col min="12" max="13" width="13.81640625" customWidth="1"/>
    <col min="16" max="16" width="16.54296875" bestFit="1" customWidth="1"/>
    <col min="17" max="17" width="16.81640625" customWidth="1"/>
    <col min="18" max="18" width="24.54296875" bestFit="1" customWidth="1"/>
    <col min="19" max="19" width="23.453125" customWidth="1"/>
  </cols>
  <sheetData>
    <row r="1" spans="1:19" x14ac:dyDescent="0.35">
      <c r="A1" s="76" t="s">
        <v>0</v>
      </c>
      <c r="B1" s="78" t="s">
        <v>1</v>
      </c>
      <c r="C1" s="79"/>
      <c r="D1" s="78" t="s">
        <v>2</v>
      </c>
      <c r="E1" s="79"/>
      <c r="F1" s="78" t="s">
        <v>3</v>
      </c>
      <c r="G1" s="79"/>
      <c r="H1" s="78" t="s">
        <v>4</v>
      </c>
      <c r="I1" s="79"/>
      <c r="J1" s="78" t="s">
        <v>5</v>
      </c>
      <c r="K1" s="79"/>
      <c r="L1" s="78" t="s">
        <v>6</v>
      </c>
      <c r="M1" s="79"/>
      <c r="N1" s="78" t="s">
        <v>7</v>
      </c>
      <c r="O1" s="79"/>
      <c r="P1" s="78" t="s">
        <v>8</v>
      </c>
      <c r="Q1" s="79"/>
      <c r="R1" s="74" t="s">
        <v>9</v>
      </c>
      <c r="S1" s="75"/>
    </row>
    <row r="2" spans="1:19" x14ac:dyDescent="0.35">
      <c r="A2" s="77"/>
      <c r="B2" s="23">
        <v>2025</v>
      </c>
      <c r="C2" s="23">
        <v>2024</v>
      </c>
      <c r="D2" s="23">
        <v>2025</v>
      </c>
      <c r="E2" s="23">
        <v>2024</v>
      </c>
      <c r="F2" s="23">
        <v>2025</v>
      </c>
      <c r="G2" s="23">
        <v>2024</v>
      </c>
      <c r="H2" s="23">
        <v>2025</v>
      </c>
      <c r="I2" s="23">
        <v>2024</v>
      </c>
      <c r="J2" s="23">
        <v>2025</v>
      </c>
      <c r="K2" s="23">
        <v>2024</v>
      </c>
      <c r="L2" s="23">
        <v>2025</v>
      </c>
      <c r="M2" s="23">
        <v>2024</v>
      </c>
      <c r="N2" s="23">
        <v>2025</v>
      </c>
      <c r="O2" s="23">
        <v>2024</v>
      </c>
      <c r="P2" s="23">
        <v>2025</v>
      </c>
      <c r="Q2" s="23">
        <v>2024</v>
      </c>
      <c r="R2" s="23">
        <v>2025</v>
      </c>
      <c r="S2" s="23">
        <v>2024</v>
      </c>
    </row>
    <row r="3" spans="1:19" x14ac:dyDescent="0.35">
      <c r="A3" s="24" t="s">
        <v>10</v>
      </c>
      <c r="B3" s="5">
        <v>5.5579999999999998</v>
      </c>
      <c r="C3" s="5">
        <v>4.3170000000000002</v>
      </c>
      <c r="D3" s="5">
        <v>3.4889999999999999</v>
      </c>
      <c r="E3" s="5">
        <v>2.5099999999999998</v>
      </c>
      <c r="F3" s="5">
        <v>1.24</v>
      </c>
      <c r="G3" s="5">
        <v>0.56000000000000005</v>
      </c>
      <c r="H3" s="5">
        <v>19.373999999999999</v>
      </c>
      <c r="I3" s="5">
        <v>11.813000000000001</v>
      </c>
      <c r="J3" s="5">
        <v>2.3730000000000002</v>
      </c>
      <c r="K3" s="5">
        <v>1.911</v>
      </c>
      <c r="L3" s="5">
        <v>1.627</v>
      </c>
      <c r="M3" s="5">
        <v>1.2789999999999999</v>
      </c>
      <c r="N3" s="5">
        <v>2.2629999999999999</v>
      </c>
      <c r="O3" s="5">
        <v>2.1120000000000001</v>
      </c>
      <c r="P3" s="5">
        <v>1.226</v>
      </c>
      <c r="Q3" s="5">
        <v>0.39800000000000002</v>
      </c>
      <c r="R3" s="5">
        <v>0.29199999999999998</v>
      </c>
      <c r="S3" s="5">
        <v>0.27200000000000002</v>
      </c>
    </row>
    <row r="4" spans="1:19" x14ac:dyDescent="0.35">
      <c r="A4" s="25" t="s">
        <v>30</v>
      </c>
      <c r="B4" s="5">
        <v>4.6849999999999996</v>
      </c>
      <c r="C4" s="5">
        <v>3.802</v>
      </c>
      <c r="D4" s="5">
        <v>5.2089999999999996</v>
      </c>
      <c r="E4" s="5">
        <v>4.032</v>
      </c>
      <c r="F4" s="5">
        <v>0.879</v>
      </c>
      <c r="G4" s="5">
        <v>0.434</v>
      </c>
      <c r="H4" s="5">
        <v>22.689</v>
      </c>
      <c r="I4" s="5">
        <v>8.33</v>
      </c>
      <c r="J4" s="5">
        <v>1.548</v>
      </c>
      <c r="K4" s="5">
        <v>1.175</v>
      </c>
      <c r="L4" s="5">
        <v>3.4430000000000001</v>
      </c>
      <c r="M4" s="5">
        <v>2.7930000000000001</v>
      </c>
      <c r="N4" s="5">
        <v>4.6230000000000002</v>
      </c>
      <c r="O4" s="5">
        <v>4.016</v>
      </c>
      <c r="P4" s="5">
        <v>0.58499999999999996</v>
      </c>
      <c r="Q4" s="5">
        <v>1.4999999999999999E-2</v>
      </c>
      <c r="R4" s="5">
        <v>0.41799999999999998</v>
      </c>
      <c r="S4" s="5">
        <v>0.307</v>
      </c>
    </row>
    <row r="5" spans="1:19" x14ac:dyDescent="0.35">
      <c r="A5" s="26" t="s">
        <v>33</v>
      </c>
      <c r="B5" s="5">
        <v>5.9560000000000004</v>
      </c>
      <c r="C5" s="5">
        <v>6.2629999999999999</v>
      </c>
      <c r="D5" s="5">
        <v>1.2629999999999999</v>
      </c>
      <c r="E5" s="5">
        <v>2.9569999999999999</v>
      </c>
      <c r="F5" s="15">
        <v>-0.17699999999999999</v>
      </c>
      <c r="G5" s="22">
        <v>0.32</v>
      </c>
      <c r="H5" s="5">
        <v>25.137</v>
      </c>
      <c r="I5" s="5">
        <v>23.597000000000001</v>
      </c>
      <c r="J5" s="5">
        <v>1.542</v>
      </c>
      <c r="K5" s="5">
        <v>1.4770000000000001</v>
      </c>
      <c r="L5" s="5">
        <v>1.4950000000000001</v>
      </c>
      <c r="M5" s="5">
        <v>1.5</v>
      </c>
      <c r="N5" s="5">
        <v>1.9930000000000001</v>
      </c>
      <c r="O5" s="5">
        <v>2.9809999999999999</v>
      </c>
      <c r="P5" s="15">
        <v>-0.72899999999999998</v>
      </c>
      <c r="Q5" s="22">
        <v>2.4E-2</v>
      </c>
      <c r="R5" s="5">
        <v>0.53500000000000003</v>
      </c>
      <c r="S5" s="5">
        <v>0.29699999999999999</v>
      </c>
    </row>
    <row r="6" spans="1:19" ht="15" customHeight="1" x14ac:dyDescent="0.35">
      <c r="A6" s="27" t="s">
        <v>64</v>
      </c>
      <c r="B6" s="31">
        <v>10.553000000000001</v>
      </c>
      <c r="C6" s="31">
        <v>10.509</v>
      </c>
      <c r="D6" s="31">
        <v>2.7269999999999999</v>
      </c>
      <c r="E6" s="31">
        <v>5.7930000000000001</v>
      </c>
      <c r="F6" s="31">
        <v>0.54100000000000004</v>
      </c>
      <c r="G6" s="31">
        <v>2.2599999999999998</v>
      </c>
      <c r="H6" s="31">
        <v>26.875</v>
      </c>
      <c r="I6" s="31">
        <v>18.48</v>
      </c>
      <c r="J6" s="31">
        <v>5.9710000000000001</v>
      </c>
      <c r="K6" s="31">
        <v>4.9349999999999996</v>
      </c>
      <c r="L6" s="31">
        <v>2.1549999999999998</v>
      </c>
      <c r="M6" s="31">
        <v>2.008</v>
      </c>
      <c r="N6" s="31">
        <v>3.2549999999999999</v>
      </c>
      <c r="O6" s="31">
        <v>3.4550000000000001</v>
      </c>
      <c r="P6" s="30">
        <v>-0.52700000000000002</v>
      </c>
      <c r="Q6" s="31">
        <v>2.3380000000000001</v>
      </c>
      <c r="R6" s="31">
        <v>1.141</v>
      </c>
      <c r="S6" s="31">
        <v>0.51600000000000001</v>
      </c>
    </row>
    <row r="7" spans="1:19" ht="15" customHeight="1" x14ac:dyDescent="0.35">
      <c r="A7" s="24" t="s">
        <v>184</v>
      </c>
      <c r="B7" s="7">
        <v>1.9910000000000001</v>
      </c>
      <c r="C7" s="7">
        <v>2.3090000000000002</v>
      </c>
      <c r="D7" s="16">
        <v>1.2749999999999999</v>
      </c>
      <c r="E7" s="16">
        <v>1.198</v>
      </c>
      <c r="F7" s="17">
        <v>-0.318</v>
      </c>
      <c r="G7" s="36">
        <v>0.17599999999999999</v>
      </c>
      <c r="H7" s="16">
        <v>36.710999999999999</v>
      </c>
      <c r="I7" s="16">
        <v>6.6139999999999999</v>
      </c>
      <c r="J7" s="16">
        <v>1.1950000000000001</v>
      </c>
      <c r="K7" s="16">
        <v>1.129</v>
      </c>
      <c r="L7" s="16">
        <v>0.66700000000000004</v>
      </c>
      <c r="M7" s="16">
        <v>0.53700000000000003</v>
      </c>
      <c r="N7" s="16">
        <v>1.556</v>
      </c>
      <c r="O7" s="16">
        <v>1.2190000000000001</v>
      </c>
      <c r="P7" s="17">
        <v>-0.28000000000000003</v>
      </c>
      <c r="Q7" s="17">
        <v>-0.02</v>
      </c>
      <c r="R7" s="16" t="s">
        <v>20</v>
      </c>
      <c r="S7" s="16" t="s">
        <v>20</v>
      </c>
    </row>
    <row r="8" spans="1:19" x14ac:dyDescent="0.35">
      <c r="A8" s="24" t="s">
        <v>11</v>
      </c>
      <c r="B8" s="18">
        <v>21.151</v>
      </c>
      <c r="C8" s="18">
        <v>24.228000000000002</v>
      </c>
      <c r="D8" s="18">
        <v>5.8310000000000004</v>
      </c>
      <c r="E8" s="18">
        <v>12.2</v>
      </c>
      <c r="F8" s="18">
        <v>2.073</v>
      </c>
      <c r="G8" s="18">
        <v>6.8769999999999998</v>
      </c>
      <c r="H8" s="18">
        <v>30.169</v>
      </c>
      <c r="I8" s="18">
        <v>30.044</v>
      </c>
      <c r="J8" s="18">
        <v>2.1379999999999999</v>
      </c>
      <c r="K8" s="18">
        <v>2.0339999999999998</v>
      </c>
      <c r="L8" s="18">
        <v>4.5590000000000002</v>
      </c>
      <c r="M8" s="18">
        <v>3.8260000000000001</v>
      </c>
      <c r="N8" s="18">
        <v>5.5430000000000001</v>
      </c>
      <c r="O8" s="18">
        <v>5.0369999999999999</v>
      </c>
      <c r="P8" s="18">
        <v>0.28799999999999998</v>
      </c>
      <c r="Q8" s="18">
        <v>7.1619999999999999</v>
      </c>
      <c r="R8" s="18">
        <v>2.298</v>
      </c>
      <c r="S8" s="18">
        <v>1.762</v>
      </c>
    </row>
    <row r="9" spans="1:19" x14ac:dyDescent="0.35">
      <c r="A9" s="27" t="s">
        <v>12</v>
      </c>
      <c r="B9" s="5">
        <v>2.3929999999999998</v>
      </c>
      <c r="C9" s="5">
        <v>1.9059999999999999</v>
      </c>
      <c r="D9" s="5">
        <v>1.68</v>
      </c>
      <c r="E9" s="5">
        <v>1.4279999999999999</v>
      </c>
      <c r="F9" s="5">
        <v>0.48699999999999999</v>
      </c>
      <c r="G9" s="5">
        <v>0.54200000000000004</v>
      </c>
      <c r="H9" s="5">
        <v>5.62</v>
      </c>
      <c r="I9" s="5">
        <v>4.1879999999999997</v>
      </c>
      <c r="J9" s="5">
        <v>0.97299999999999998</v>
      </c>
      <c r="K9" s="5">
        <v>0.90700000000000003</v>
      </c>
      <c r="L9" s="5">
        <v>0.69299999999999995</v>
      </c>
      <c r="M9" s="5">
        <v>0.59299999999999997</v>
      </c>
      <c r="N9" s="5">
        <v>0.97799999999999998</v>
      </c>
      <c r="O9" s="5">
        <v>0.80600000000000005</v>
      </c>
      <c r="P9" s="5">
        <v>0.70099999999999996</v>
      </c>
      <c r="Q9" s="5">
        <v>0.622</v>
      </c>
      <c r="R9" s="5" t="s">
        <v>20</v>
      </c>
      <c r="S9" s="5" t="s">
        <v>20</v>
      </c>
    </row>
    <row r="10" spans="1:19" x14ac:dyDescent="0.35">
      <c r="A10" s="27" t="s">
        <v>13</v>
      </c>
      <c r="B10" s="5">
        <v>1.7809999999999999</v>
      </c>
      <c r="C10" s="5">
        <v>1.6950000000000001</v>
      </c>
      <c r="D10" s="5">
        <v>0.48199999999999998</v>
      </c>
      <c r="E10" s="5">
        <v>0.46100000000000002</v>
      </c>
      <c r="F10" s="5">
        <v>8.5999999999999993E-2</v>
      </c>
      <c r="G10" s="5">
        <v>0.13800000000000001</v>
      </c>
      <c r="H10" s="5">
        <v>5.2</v>
      </c>
      <c r="I10" s="5">
        <v>2.9649999999999999</v>
      </c>
      <c r="J10" s="5">
        <v>0.98899999999999999</v>
      </c>
      <c r="K10" s="5">
        <v>0.91500000000000004</v>
      </c>
      <c r="L10" s="5">
        <v>0.34499999999999997</v>
      </c>
      <c r="M10" s="5">
        <v>0.253</v>
      </c>
      <c r="N10" s="5">
        <v>0.54600000000000004</v>
      </c>
      <c r="O10" s="5">
        <v>0.439</v>
      </c>
      <c r="P10" s="15">
        <v>-6.3E-2</v>
      </c>
      <c r="Q10" s="22">
        <v>2.1000000000000001E-2</v>
      </c>
      <c r="R10" s="5">
        <v>0.214</v>
      </c>
      <c r="S10" s="5">
        <v>0.154</v>
      </c>
    </row>
    <row r="11" spans="1:19" x14ac:dyDescent="0.35">
      <c r="A11" s="27" t="s">
        <v>185</v>
      </c>
      <c r="B11" s="5">
        <v>1.1830000000000001</v>
      </c>
      <c r="C11" s="5">
        <v>2.1539999999999999</v>
      </c>
      <c r="D11" s="5">
        <v>0.36699999999999999</v>
      </c>
      <c r="E11" s="5">
        <v>0.83199999999999996</v>
      </c>
      <c r="F11" s="15">
        <v>-0.97099999999999997</v>
      </c>
      <c r="G11" s="15">
        <v>-2.9000000000000001E-2</v>
      </c>
      <c r="H11" s="5">
        <v>5.7519999999999998</v>
      </c>
      <c r="I11" s="5">
        <v>6.8479999999999999</v>
      </c>
      <c r="J11" s="5">
        <v>1.022</v>
      </c>
      <c r="K11" s="5">
        <v>0.96299999999999997</v>
      </c>
      <c r="L11" s="5">
        <v>0.81299999999999994</v>
      </c>
      <c r="M11" s="5">
        <v>0.73599999999999999</v>
      </c>
      <c r="N11" s="5">
        <v>1.4019999999999999</v>
      </c>
      <c r="O11" s="5">
        <v>1.32</v>
      </c>
      <c r="P11" s="15">
        <v>-1.0349999999999999</v>
      </c>
      <c r="Q11" s="15">
        <v>-0.48699999999999999</v>
      </c>
      <c r="R11" s="5">
        <v>3.3000000000000002E-2</v>
      </c>
      <c r="S11" s="5">
        <v>0.44700000000000001</v>
      </c>
    </row>
    <row r="12" spans="1:19" x14ac:dyDescent="0.35">
      <c r="A12" s="27" t="s">
        <v>14</v>
      </c>
      <c r="B12" s="5">
        <v>20.734999999999999</v>
      </c>
      <c r="C12" s="5">
        <v>14.714</v>
      </c>
      <c r="D12" s="5">
        <v>29.51</v>
      </c>
      <c r="E12" s="5">
        <v>18.940000000000001</v>
      </c>
      <c r="F12" s="5">
        <v>7.07</v>
      </c>
      <c r="G12" s="5">
        <v>2.5910000000000002</v>
      </c>
      <c r="H12" s="5">
        <v>55.798000000000002</v>
      </c>
      <c r="I12" s="5">
        <v>67.075999999999993</v>
      </c>
      <c r="J12" s="5">
        <v>4.7030000000000003</v>
      </c>
      <c r="K12" s="5">
        <v>4.4630000000000001</v>
      </c>
      <c r="L12" s="5">
        <v>6.2930000000000001</v>
      </c>
      <c r="M12" s="5">
        <v>5.8769999999999998</v>
      </c>
      <c r="N12" s="5">
        <v>20.050999999999998</v>
      </c>
      <c r="O12" s="5">
        <v>16.687000000000001</v>
      </c>
      <c r="P12" s="5">
        <v>9.4589999999999996</v>
      </c>
      <c r="Q12" s="5">
        <v>2.2530000000000001</v>
      </c>
      <c r="R12" s="5">
        <v>1.0580000000000001</v>
      </c>
      <c r="S12" s="5">
        <v>1.7989999999999999</v>
      </c>
    </row>
    <row r="13" spans="1:19" x14ac:dyDescent="0.35">
      <c r="A13" s="27" t="s">
        <v>15</v>
      </c>
      <c r="B13" s="5">
        <v>5.734</v>
      </c>
      <c r="C13" s="5">
        <v>5.5259999999999998</v>
      </c>
      <c r="D13" s="5">
        <v>2.7669999999999999</v>
      </c>
      <c r="E13" s="5">
        <v>2.02</v>
      </c>
      <c r="F13" s="5">
        <v>0.20699999999999999</v>
      </c>
      <c r="G13" s="5">
        <v>-0.26800000000000002</v>
      </c>
      <c r="H13" s="5">
        <v>11.535</v>
      </c>
      <c r="I13" s="5">
        <v>11.329000000000001</v>
      </c>
      <c r="J13" s="5">
        <v>4.4909999999999997</v>
      </c>
      <c r="K13" s="5">
        <v>4.8179999999999996</v>
      </c>
      <c r="L13" s="5">
        <v>1.1830000000000001</v>
      </c>
      <c r="M13" s="5">
        <v>1.0349999999999999</v>
      </c>
      <c r="N13" s="5">
        <v>2.544</v>
      </c>
      <c r="O13" s="5">
        <v>2.1960000000000002</v>
      </c>
      <c r="P13" s="5">
        <v>0.222</v>
      </c>
      <c r="Q13" s="5">
        <v>-0.17599999999999999</v>
      </c>
      <c r="R13" s="5">
        <v>0.29599999999999999</v>
      </c>
      <c r="S13" s="5">
        <v>0.20200000000000001</v>
      </c>
    </row>
    <row r="14" spans="1:19" x14ac:dyDescent="0.35">
      <c r="A14" s="27" t="s">
        <v>31</v>
      </c>
      <c r="B14" s="5">
        <v>2.6840000000000002</v>
      </c>
      <c r="C14" s="5">
        <v>2.8010000000000002</v>
      </c>
      <c r="D14" s="5">
        <v>0.98799999999999999</v>
      </c>
      <c r="E14" s="5">
        <v>0.98099999999999998</v>
      </c>
      <c r="F14" s="15">
        <v>-0.17699999999999999</v>
      </c>
      <c r="G14" s="22">
        <v>0.21099999999999999</v>
      </c>
      <c r="H14" s="5">
        <v>7.91</v>
      </c>
      <c r="I14" s="5">
        <v>7.6890000000000001</v>
      </c>
      <c r="J14" s="5">
        <v>1.2410000000000001</v>
      </c>
      <c r="K14" s="5">
        <v>1.1200000000000001</v>
      </c>
      <c r="L14" s="5">
        <v>0.81299999999999994</v>
      </c>
      <c r="M14" s="5">
        <v>0.73599999999999999</v>
      </c>
      <c r="N14" s="5">
        <v>1.3089999999999999</v>
      </c>
      <c r="O14" s="5">
        <v>1.331</v>
      </c>
      <c r="P14" s="5">
        <v>0.32</v>
      </c>
      <c r="Q14" s="5">
        <v>-0.35</v>
      </c>
      <c r="R14" s="5">
        <v>0.112</v>
      </c>
      <c r="S14" s="5">
        <v>0.52500000000000002</v>
      </c>
    </row>
    <row r="15" spans="1:19" x14ac:dyDescent="0.35">
      <c r="A15" s="27" t="s">
        <v>16</v>
      </c>
      <c r="B15" s="5">
        <v>3.597</v>
      </c>
      <c r="C15" s="5">
        <v>2.2440000000000002</v>
      </c>
      <c r="D15" s="5">
        <v>2.0990000000000002</v>
      </c>
      <c r="E15" s="5">
        <v>1.3080000000000001</v>
      </c>
      <c r="F15" s="5">
        <v>0.85199999999999998</v>
      </c>
      <c r="G15" s="5">
        <v>0.34699999999999998</v>
      </c>
      <c r="H15" s="5">
        <v>4.181</v>
      </c>
      <c r="I15" s="5">
        <v>2.5939999999999999</v>
      </c>
      <c r="J15" s="5">
        <v>0.98299999999999998</v>
      </c>
      <c r="K15" s="5">
        <v>0.91800000000000004</v>
      </c>
      <c r="L15" s="5">
        <v>0.749</v>
      </c>
      <c r="M15" s="5">
        <v>0.73099999999999998</v>
      </c>
      <c r="N15" s="5">
        <v>1.177</v>
      </c>
      <c r="O15" s="5">
        <v>0.99199999999999999</v>
      </c>
      <c r="P15" s="5">
        <v>0.92200000000000004</v>
      </c>
      <c r="Q15" s="5">
        <v>0.316</v>
      </c>
      <c r="R15" s="5">
        <v>0.154</v>
      </c>
      <c r="S15" s="5">
        <v>0.10199999999999999</v>
      </c>
    </row>
    <row r="16" spans="1:19" x14ac:dyDescent="0.35">
      <c r="A16" s="27" t="s">
        <v>17</v>
      </c>
      <c r="B16" s="18">
        <v>15.852</v>
      </c>
      <c r="C16" s="18">
        <v>17.135000000000002</v>
      </c>
      <c r="D16" s="18">
        <v>2.7090000000000001</v>
      </c>
      <c r="E16" s="18">
        <v>11.73</v>
      </c>
      <c r="F16" s="18">
        <v>0.26400000000000001</v>
      </c>
      <c r="G16" s="18">
        <v>4.3289999999999997</v>
      </c>
      <c r="H16" s="18">
        <v>30.504999999999999</v>
      </c>
      <c r="I16" s="18">
        <v>29.927</v>
      </c>
      <c r="J16" s="18">
        <v>6.2279999999999998</v>
      </c>
      <c r="K16" s="18">
        <v>5.07</v>
      </c>
      <c r="L16" s="18">
        <v>2.9</v>
      </c>
      <c r="M16" s="18">
        <v>2.8660000000000001</v>
      </c>
      <c r="N16" s="18">
        <v>3.3940000000000001</v>
      </c>
      <c r="O16" s="18">
        <v>7.0060000000000002</v>
      </c>
      <c r="P16" s="32">
        <v>-0.64800000000000002</v>
      </c>
      <c r="Q16" s="37">
        <v>4.7240000000000002</v>
      </c>
      <c r="R16" s="18">
        <v>1.0669999999999999</v>
      </c>
      <c r="S16" s="18">
        <v>0.92300000000000004</v>
      </c>
    </row>
    <row r="17" spans="1:19" x14ac:dyDescent="0.35">
      <c r="A17" s="27" t="s">
        <v>139</v>
      </c>
      <c r="B17" s="5">
        <v>52.820999999999998</v>
      </c>
      <c r="C17" s="5">
        <v>49.042999999999999</v>
      </c>
      <c r="D17" s="5">
        <v>21.373000000000001</v>
      </c>
      <c r="E17" s="5">
        <v>19.62</v>
      </c>
      <c r="F17" s="5">
        <v>3.9279999999999999</v>
      </c>
      <c r="G17" s="5">
        <v>5.3529999999999998</v>
      </c>
      <c r="H17" s="5">
        <v>118.569</v>
      </c>
      <c r="I17" s="5">
        <v>109.717</v>
      </c>
      <c r="J17" s="5">
        <v>15.204000000000001</v>
      </c>
      <c r="K17" s="5">
        <v>14.641</v>
      </c>
      <c r="L17" s="5">
        <v>14.999000000000001</v>
      </c>
      <c r="M17" s="5">
        <v>12.406000000000001</v>
      </c>
      <c r="N17" s="5">
        <v>25.408999999999999</v>
      </c>
      <c r="O17" s="5">
        <v>21.443999999999999</v>
      </c>
      <c r="P17" s="22">
        <v>-4.0359999999999996</v>
      </c>
      <c r="Q17" s="22">
        <v>-1.8240000000000001</v>
      </c>
      <c r="R17" s="5">
        <v>11.355</v>
      </c>
      <c r="S17" s="5">
        <v>8.3439999999999994</v>
      </c>
    </row>
    <row r="18" spans="1:19" x14ac:dyDescent="0.35">
      <c r="A18" s="27" t="s">
        <v>19</v>
      </c>
      <c r="B18" s="5">
        <v>27.167999999999999</v>
      </c>
      <c r="C18" s="5">
        <v>27.327999999999999</v>
      </c>
      <c r="D18" s="5">
        <v>4.6550000000000002</v>
      </c>
      <c r="E18" s="5">
        <v>5.0330000000000004</v>
      </c>
      <c r="F18" s="5">
        <v>4.8390000000000004</v>
      </c>
      <c r="G18" s="5">
        <v>5.0069999999999997</v>
      </c>
      <c r="H18" s="5">
        <v>30.449000000000002</v>
      </c>
      <c r="I18" s="5">
        <v>30.152999999999999</v>
      </c>
      <c r="J18" s="5">
        <v>2.7890000000000001</v>
      </c>
      <c r="K18" s="5">
        <v>2.7389999999999999</v>
      </c>
      <c r="L18" s="5">
        <v>1.1060000000000001</v>
      </c>
      <c r="M18" s="5">
        <v>0.95699999999999996</v>
      </c>
      <c r="N18" s="5">
        <v>2.2989999999999999</v>
      </c>
      <c r="O18" s="5">
        <v>2.0489999999999999</v>
      </c>
      <c r="P18" s="5">
        <v>2.3559999999999999</v>
      </c>
      <c r="Q18" s="5">
        <v>2.9830000000000001</v>
      </c>
      <c r="R18" s="5">
        <v>5.7590000000000003</v>
      </c>
      <c r="S18" s="5">
        <v>4.9390000000000001</v>
      </c>
    </row>
    <row r="19" spans="1:19" x14ac:dyDescent="0.35">
      <c r="A19" s="27" t="s">
        <v>32</v>
      </c>
      <c r="B19" s="5">
        <v>3.258</v>
      </c>
      <c r="C19" s="5">
        <v>2.9540000000000002</v>
      </c>
      <c r="D19" s="5">
        <v>1.153</v>
      </c>
      <c r="E19" s="5">
        <v>0.96299999999999997</v>
      </c>
      <c r="F19" s="5">
        <v>0.30399999999999999</v>
      </c>
      <c r="G19" s="5">
        <v>0.33800000000000002</v>
      </c>
      <c r="H19" s="5">
        <v>5.6180000000000003</v>
      </c>
      <c r="I19" s="5">
        <v>5.6210000000000004</v>
      </c>
      <c r="J19" s="5">
        <v>0.97799999999999998</v>
      </c>
      <c r="K19" s="5">
        <v>0.91400000000000003</v>
      </c>
      <c r="L19" s="5">
        <v>0.80500000000000005</v>
      </c>
      <c r="M19" s="5">
        <v>0.66300000000000003</v>
      </c>
      <c r="N19" s="5">
        <v>0.92400000000000004</v>
      </c>
      <c r="O19" s="5">
        <v>0.83799999999999997</v>
      </c>
      <c r="P19" s="5">
        <v>0.22800000000000001</v>
      </c>
      <c r="Q19" s="5">
        <v>0.124</v>
      </c>
      <c r="R19" s="5">
        <v>0.13800000000000001</v>
      </c>
      <c r="S19" s="5">
        <v>0.25</v>
      </c>
    </row>
    <row r="20" spans="1:19" x14ac:dyDescent="0.35">
      <c r="A20" s="27" t="s">
        <v>18</v>
      </c>
      <c r="B20" s="5">
        <v>10.587</v>
      </c>
      <c r="C20" s="5">
        <v>8.7029999999999994</v>
      </c>
      <c r="D20" s="5">
        <v>2.95</v>
      </c>
      <c r="E20" s="5">
        <v>1.5609999999999999</v>
      </c>
      <c r="F20" s="5">
        <v>1.8839999999999999</v>
      </c>
      <c r="G20" s="5">
        <v>1.2090000000000001</v>
      </c>
      <c r="H20" s="5">
        <v>13.186999999999999</v>
      </c>
      <c r="I20" s="5">
        <v>10.888999999999999</v>
      </c>
      <c r="J20" s="5">
        <v>1.038</v>
      </c>
      <c r="K20" s="5">
        <v>0.99299999999999999</v>
      </c>
      <c r="L20" s="5">
        <v>0.72</v>
      </c>
      <c r="M20" s="5">
        <v>0.57599999999999996</v>
      </c>
      <c r="N20" s="5">
        <v>1.1499999999999999</v>
      </c>
      <c r="O20" s="5">
        <v>1.147</v>
      </c>
      <c r="P20" s="5">
        <v>1.8</v>
      </c>
      <c r="Q20" s="5">
        <v>0.41399999999999998</v>
      </c>
      <c r="R20" s="5">
        <v>0.439</v>
      </c>
      <c r="S20" s="5">
        <v>0.91600000000000004</v>
      </c>
    </row>
    <row r="21" spans="1:19" ht="18.5" x14ac:dyDescent="0.35">
      <c r="A21" s="28" t="s">
        <v>24</v>
      </c>
      <c r="B21" s="29">
        <f t="shared" ref="B21:S21" si="0">SUM(B3:B20)</f>
        <v>197.68699999999998</v>
      </c>
      <c r="C21" s="29">
        <f t="shared" si="0"/>
        <v>187.631</v>
      </c>
      <c r="D21" s="29">
        <f t="shared" si="0"/>
        <v>90.527000000000015</v>
      </c>
      <c r="E21" s="29">
        <f t="shared" si="0"/>
        <v>93.567000000000007</v>
      </c>
      <c r="F21" s="29">
        <f t="shared" si="0"/>
        <v>23.010999999999999</v>
      </c>
      <c r="G21" s="29">
        <f t="shared" si="0"/>
        <v>30.395</v>
      </c>
      <c r="H21" s="29">
        <f t="shared" si="0"/>
        <v>455.27900000000005</v>
      </c>
      <c r="I21" s="29">
        <f t="shared" si="0"/>
        <v>387.87399999999997</v>
      </c>
      <c r="J21" s="29">
        <f t="shared" si="0"/>
        <v>55.405999999999999</v>
      </c>
      <c r="K21" s="29">
        <f t="shared" si="0"/>
        <v>51.122</v>
      </c>
      <c r="L21" s="29">
        <f t="shared" si="0"/>
        <v>45.365000000000002</v>
      </c>
      <c r="M21" s="29">
        <f t="shared" si="0"/>
        <v>39.372</v>
      </c>
      <c r="N21" s="29">
        <f t="shared" si="0"/>
        <v>80.416000000000011</v>
      </c>
      <c r="O21" s="29">
        <f t="shared" si="0"/>
        <v>75.075000000000003</v>
      </c>
      <c r="P21" s="29">
        <f t="shared" si="0"/>
        <v>10.789000000000001</v>
      </c>
      <c r="Q21" s="29">
        <f t="shared" si="0"/>
        <v>18.537000000000003</v>
      </c>
      <c r="R21" s="29">
        <f t="shared" si="0"/>
        <v>25.309000000000005</v>
      </c>
      <c r="S21" s="29">
        <f t="shared" si="0"/>
        <v>21.754999999999999</v>
      </c>
    </row>
    <row r="22" spans="1:19" x14ac:dyDescent="0.35">
      <c r="A22" s="1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9" x14ac:dyDescent="0.35">
      <c r="A23" s="21"/>
      <c r="B23" s="2"/>
      <c r="C23" s="2"/>
      <c r="D23" s="2"/>
      <c r="E23" s="2"/>
      <c r="F23" s="20"/>
      <c r="G23" s="2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9" x14ac:dyDescent="0.35">
      <c r="A24" s="19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</sheetData>
  <mergeCells count="10">
    <mergeCell ref="L1:M1"/>
    <mergeCell ref="N1:O1"/>
    <mergeCell ref="R1:S1"/>
    <mergeCell ref="P1:Q1"/>
    <mergeCell ref="A1:A2"/>
    <mergeCell ref="B1:C1"/>
    <mergeCell ref="D1:E1"/>
    <mergeCell ref="F1:G1"/>
    <mergeCell ref="H1:I1"/>
    <mergeCell ref="J1:K1"/>
  </mergeCells>
  <conditionalFormatting sqref="B22:R24">
    <cfRule type="cellIs" dxfId="17" priority="3" operator="lessThan">
      <formula>0</formula>
    </cfRule>
  </conditionalFormatting>
  <conditionalFormatting sqref="B3:S21">
    <cfRule type="cellIs" dxfId="16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D6FC6-FDCA-4B36-864E-CF0A5DC92C1F}">
  <dimension ref="A1:J20"/>
  <sheetViews>
    <sheetView zoomScale="70" zoomScaleNormal="70" workbookViewId="0">
      <selection activeCell="N10" sqref="N10"/>
    </sheetView>
  </sheetViews>
  <sheetFormatPr defaultRowHeight="14.5" x14ac:dyDescent="0.35"/>
  <cols>
    <col min="1" max="1" width="15.54296875" bestFit="1" customWidth="1"/>
    <col min="2" max="2" width="17.54296875" bestFit="1" customWidth="1"/>
    <col min="4" max="4" width="16" bestFit="1" customWidth="1"/>
    <col min="5" max="5" width="14.453125" bestFit="1" customWidth="1"/>
    <col min="6" max="6" width="15.6328125" bestFit="1" customWidth="1"/>
    <col min="7" max="7" width="12.36328125" bestFit="1" customWidth="1"/>
    <col min="8" max="8" width="10.26953125" bestFit="1" customWidth="1"/>
    <col min="9" max="9" width="11" bestFit="1" customWidth="1"/>
    <col min="10" max="10" width="14.7265625" bestFit="1" customWidth="1"/>
  </cols>
  <sheetData>
    <row r="1" spans="1:10" x14ac:dyDescent="0.35">
      <c r="A1" s="45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4" t="s">
        <v>9</v>
      </c>
    </row>
    <row r="2" spans="1:10" x14ac:dyDescent="0.35">
      <c r="A2" s="24" t="s">
        <v>10</v>
      </c>
      <c r="B2" s="5">
        <v>5.5579999999999998</v>
      </c>
      <c r="C2" s="5">
        <v>3.4889999999999999</v>
      </c>
      <c r="D2" s="5">
        <v>1.24</v>
      </c>
      <c r="E2" s="5">
        <v>19.373999999999999</v>
      </c>
      <c r="F2" s="5">
        <v>2.3730000000000002</v>
      </c>
      <c r="G2" s="5">
        <v>1.627</v>
      </c>
      <c r="H2" s="5">
        <v>2.2629999999999999</v>
      </c>
      <c r="I2" s="5">
        <v>1.226</v>
      </c>
      <c r="J2" s="5">
        <v>0.29199999999999998</v>
      </c>
    </row>
    <row r="3" spans="1:10" x14ac:dyDescent="0.35">
      <c r="A3" s="25" t="s">
        <v>30</v>
      </c>
      <c r="B3" s="5">
        <v>4.6849999999999996</v>
      </c>
      <c r="C3" s="5">
        <v>5.2089999999999996</v>
      </c>
      <c r="D3" s="5">
        <v>0.879</v>
      </c>
      <c r="E3" s="5">
        <v>22.689</v>
      </c>
      <c r="F3" s="5">
        <v>1.548</v>
      </c>
      <c r="G3" s="5">
        <v>3.4430000000000001</v>
      </c>
      <c r="H3" s="5">
        <v>4.6230000000000002</v>
      </c>
      <c r="I3" s="5">
        <v>0.58499999999999996</v>
      </c>
      <c r="J3" s="5">
        <v>0.41799999999999998</v>
      </c>
    </row>
    <row r="4" spans="1:10" x14ac:dyDescent="0.35">
      <c r="A4" s="26" t="s">
        <v>33</v>
      </c>
      <c r="B4" s="5">
        <v>5.9560000000000004</v>
      </c>
      <c r="C4" s="5">
        <v>1.2629999999999999</v>
      </c>
      <c r="D4" s="15">
        <v>-0.17699999999999999</v>
      </c>
      <c r="E4" s="5">
        <v>25.137</v>
      </c>
      <c r="F4" s="5">
        <v>1.542</v>
      </c>
      <c r="G4" s="5">
        <v>1.4950000000000001</v>
      </c>
      <c r="H4" s="5">
        <v>1.9930000000000001</v>
      </c>
      <c r="I4" s="15">
        <v>-0.72899999999999998</v>
      </c>
      <c r="J4" s="5">
        <v>0.53500000000000003</v>
      </c>
    </row>
    <row r="5" spans="1:10" x14ac:dyDescent="0.35">
      <c r="A5" s="27" t="s">
        <v>64</v>
      </c>
      <c r="B5" s="31">
        <v>10.553000000000001</v>
      </c>
      <c r="C5" s="31">
        <v>2.7269999999999999</v>
      </c>
      <c r="D5" s="31">
        <v>0.54100000000000004</v>
      </c>
      <c r="E5" s="31">
        <v>26.875</v>
      </c>
      <c r="F5" s="31">
        <v>5.9710000000000001</v>
      </c>
      <c r="G5" s="31">
        <v>2.1549999999999998</v>
      </c>
      <c r="H5" s="31">
        <v>3.2549999999999999</v>
      </c>
      <c r="I5" s="30">
        <v>-0.52700000000000002</v>
      </c>
      <c r="J5" s="31">
        <v>1.141</v>
      </c>
    </row>
    <row r="6" spans="1:10" x14ac:dyDescent="0.35">
      <c r="A6" s="24" t="s">
        <v>184</v>
      </c>
      <c r="B6" s="7">
        <v>1.9910000000000001</v>
      </c>
      <c r="C6" s="16">
        <v>1.2749999999999999</v>
      </c>
      <c r="D6" s="17">
        <v>-0.318</v>
      </c>
      <c r="E6" s="16">
        <v>36.710999999999999</v>
      </c>
      <c r="F6" s="16">
        <v>1.1950000000000001</v>
      </c>
      <c r="G6" s="16">
        <v>0.66700000000000004</v>
      </c>
      <c r="H6" s="16">
        <v>1.556</v>
      </c>
      <c r="I6" s="17">
        <v>-0.28000000000000003</v>
      </c>
      <c r="J6" s="16" t="s">
        <v>20</v>
      </c>
    </row>
    <row r="7" spans="1:10" x14ac:dyDescent="0.35">
      <c r="A7" s="24" t="s">
        <v>11</v>
      </c>
      <c r="B7" s="18">
        <v>21.151</v>
      </c>
      <c r="C7" s="18">
        <v>5.8310000000000004</v>
      </c>
      <c r="D7" s="18">
        <v>2.073</v>
      </c>
      <c r="E7" s="18">
        <v>30.169</v>
      </c>
      <c r="F7" s="18">
        <v>2.1379999999999999</v>
      </c>
      <c r="G7" s="18">
        <v>4.5590000000000002</v>
      </c>
      <c r="H7" s="18">
        <v>5.5430000000000001</v>
      </c>
      <c r="I7" s="18">
        <v>0.28799999999999998</v>
      </c>
      <c r="J7" s="18">
        <v>2.298</v>
      </c>
    </row>
    <row r="8" spans="1:10" x14ac:dyDescent="0.35">
      <c r="A8" s="27" t="s">
        <v>12</v>
      </c>
      <c r="B8" s="5">
        <v>2.3929999999999998</v>
      </c>
      <c r="C8" s="5">
        <v>1.68</v>
      </c>
      <c r="D8" s="5">
        <v>0.48699999999999999</v>
      </c>
      <c r="E8" s="5">
        <v>5.62</v>
      </c>
      <c r="F8" s="5">
        <v>0.97299999999999998</v>
      </c>
      <c r="G8" s="5">
        <v>0.69299999999999995</v>
      </c>
      <c r="H8" s="5">
        <v>0.97799999999999998</v>
      </c>
      <c r="I8" s="5">
        <v>0.70099999999999996</v>
      </c>
      <c r="J8" s="5" t="s">
        <v>20</v>
      </c>
    </row>
    <row r="9" spans="1:10" x14ac:dyDescent="0.35">
      <c r="A9" s="27" t="s">
        <v>13</v>
      </c>
      <c r="B9" s="5">
        <v>1.7809999999999999</v>
      </c>
      <c r="C9" s="5">
        <v>0.48199999999999998</v>
      </c>
      <c r="D9" s="5">
        <v>8.5999999999999993E-2</v>
      </c>
      <c r="E9" s="5">
        <v>5.2</v>
      </c>
      <c r="F9" s="5">
        <v>0.98899999999999999</v>
      </c>
      <c r="G9" s="5">
        <v>0.34499999999999997</v>
      </c>
      <c r="H9" s="5">
        <v>0.54600000000000004</v>
      </c>
      <c r="I9" s="15">
        <v>-6.3E-2</v>
      </c>
      <c r="J9" s="5">
        <v>0.214</v>
      </c>
    </row>
    <row r="10" spans="1:10" x14ac:dyDescent="0.35">
      <c r="A10" s="27" t="s">
        <v>185</v>
      </c>
      <c r="B10" s="5">
        <v>1.1830000000000001</v>
      </c>
      <c r="C10" s="5">
        <v>0.36699999999999999</v>
      </c>
      <c r="D10" s="15">
        <v>-0.97099999999999997</v>
      </c>
      <c r="E10" s="5">
        <v>5.7519999999999998</v>
      </c>
      <c r="F10" s="5">
        <v>1.022</v>
      </c>
      <c r="G10" s="5">
        <v>0.81299999999999994</v>
      </c>
      <c r="H10" s="5">
        <v>1.4019999999999999</v>
      </c>
      <c r="I10" s="15">
        <v>-1.0349999999999999</v>
      </c>
      <c r="J10" s="5">
        <v>3.3000000000000002E-2</v>
      </c>
    </row>
    <row r="11" spans="1:10" x14ac:dyDescent="0.35">
      <c r="A11" s="27" t="s">
        <v>14</v>
      </c>
      <c r="B11" s="5">
        <v>20.734999999999999</v>
      </c>
      <c r="C11" s="5">
        <v>29.51</v>
      </c>
      <c r="D11" s="5">
        <v>7.07</v>
      </c>
      <c r="E11" s="5">
        <v>55.798000000000002</v>
      </c>
      <c r="F11" s="5">
        <v>4.7030000000000003</v>
      </c>
      <c r="G11" s="5">
        <v>6.2930000000000001</v>
      </c>
      <c r="H11" s="5">
        <v>20.050999999999998</v>
      </c>
      <c r="I11" s="5">
        <v>9.4589999999999996</v>
      </c>
      <c r="J11" s="5">
        <v>1.0580000000000001</v>
      </c>
    </row>
    <row r="12" spans="1:10" x14ac:dyDescent="0.35">
      <c r="A12" s="27" t="s">
        <v>15</v>
      </c>
      <c r="B12" s="5">
        <v>5.734</v>
      </c>
      <c r="C12" s="5">
        <v>2.7669999999999999</v>
      </c>
      <c r="D12" s="5">
        <v>0.20699999999999999</v>
      </c>
      <c r="E12" s="5">
        <v>11.535</v>
      </c>
      <c r="F12" s="5">
        <v>4.4909999999999997</v>
      </c>
      <c r="G12" s="5">
        <v>1.1830000000000001</v>
      </c>
      <c r="H12" s="5">
        <v>2.544</v>
      </c>
      <c r="I12" s="5">
        <v>0.222</v>
      </c>
      <c r="J12" s="5">
        <v>0.29599999999999999</v>
      </c>
    </row>
    <row r="13" spans="1:10" x14ac:dyDescent="0.35">
      <c r="A13" s="27" t="s">
        <v>31</v>
      </c>
      <c r="B13" s="5">
        <v>2.6840000000000002</v>
      </c>
      <c r="C13" s="5">
        <v>0.98799999999999999</v>
      </c>
      <c r="D13" s="15">
        <v>-0.17699999999999999</v>
      </c>
      <c r="E13" s="5">
        <v>7.91</v>
      </c>
      <c r="F13" s="5">
        <v>1.2410000000000001</v>
      </c>
      <c r="G13" s="5">
        <v>0.81299999999999994</v>
      </c>
      <c r="H13" s="5">
        <v>1.3089999999999999</v>
      </c>
      <c r="I13" s="5">
        <v>0.32</v>
      </c>
      <c r="J13" s="5">
        <v>0.112</v>
      </c>
    </row>
    <row r="14" spans="1:10" x14ac:dyDescent="0.35">
      <c r="A14" s="27" t="s">
        <v>16</v>
      </c>
      <c r="B14" s="5">
        <v>3.597</v>
      </c>
      <c r="C14" s="5">
        <v>2.0990000000000002</v>
      </c>
      <c r="D14" s="5">
        <v>0.85199999999999998</v>
      </c>
      <c r="E14" s="5">
        <v>4.181</v>
      </c>
      <c r="F14" s="5">
        <v>0.98299999999999998</v>
      </c>
      <c r="G14" s="5">
        <v>0.749</v>
      </c>
      <c r="H14" s="5">
        <v>1.177</v>
      </c>
      <c r="I14" s="5">
        <v>0.92200000000000004</v>
      </c>
      <c r="J14" s="5">
        <v>0.154</v>
      </c>
    </row>
    <row r="15" spans="1:10" x14ac:dyDescent="0.35">
      <c r="A15" s="27" t="s">
        <v>17</v>
      </c>
      <c r="B15" s="18">
        <v>15.852</v>
      </c>
      <c r="C15" s="18">
        <v>2.7090000000000001</v>
      </c>
      <c r="D15" s="18">
        <v>0.26400000000000001</v>
      </c>
      <c r="E15" s="18">
        <v>30.504999999999999</v>
      </c>
      <c r="F15" s="18">
        <v>6.2279999999999998</v>
      </c>
      <c r="G15" s="18">
        <v>2.9</v>
      </c>
      <c r="H15" s="18">
        <v>3.3940000000000001</v>
      </c>
      <c r="I15" s="32">
        <v>-0.64800000000000002</v>
      </c>
      <c r="J15" s="18">
        <v>1.0669999999999999</v>
      </c>
    </row>
    <row r="16" spans="1:10" x14ac:dyDescent="0.35">
      <c r="A16" s="27" t="s">
        <v>139</v>
      </c>
      <c r="B16" s="5">
        <v>52.820999999999998</v>
      </c>
      <c r="C16" s="5">
        <v>21.373000000000001</v>
      </c>
      <c r="D16" s="5">
        <v>3.9279999999999999</v>
      </c>
      <c r="E16" s="5">
        <v>118.569</v>
      </c>
      <c r="F16" s="5">
        <v>15.204000000000001</v>
      </c>
      <c r="G16" s="5">
        <v>14.999000000000001</v>
      </c>
      <c r="H16" s="5">
        <v>25.408999999999999</v>
      </c>
      <c r="I16" s="22">
        <v>-4.0359999999999996</v>
      </c>
      <c r="J16" s="5">
        <v>11.355</v>
      </c>
    </row>
    <row r="17" spans="1:10" x14ac:dyDescent="0.35">
      <c r="A17" s="27" t="s">
        <v>19</v>
      </c>
      <c r="B17" s="5">
        <v>27.167999999999999</v>
      </c>
      <c r="C17" s="5">
        <v>4.6550000000000002</v>
      </c>
      <c r="D17" s="5">
        <v>4.8390000000000004</v>
      </c>
      <c r="E17" s="5">
        <v>30.449000000000002</v>
      </c>
      <c r="F17" s="5">
        <v>2.7890000000000001</v>
      </c>
      <c r="G17" s="5">
        <v>1.1060000000000001</v>
      </c>
      <c r="H17" s="5">
        <v>2.2989999999999999</v>
      </c>
      <c r="I17" s="5">
        <v>2.3559999999999999</v>
      </c>
      <c r="J17" s="5">
        <v>5.7590000000000003</v>
      </c>
    </row>
    <row r="18" spans="1:10" x14ac:dyDescent="0.35">
      <c r="A18" s="27" t="s">
        <v>32</v>
      </c>
      <c r="B18" s="5">
        <v>3.258</v>
      </c>
      <c r="C18" s="5">
        <v>1.153</v>
      </c>
      <c r="D18" s="5">
        <v>0.30399999999999999</v>
      </c>
      <c r="E18" s="5">
        <v>5.6180000000000003</v>
      </c>
      <c r="F18" s="5">
        <v>0.97799999999999998</v>
      </c>
      <c r="G18" s="5">
        <v>0.80500000000000005</v>
      </c>
      <c r="H18" s="5">
        <v>0.92400000000000004</v>
      </c>
      <c r="I18" s="5">
        <v>0.22800000000000001</v>
      </c>
      <c r="J18" s="5">
        <v>0.13800000000000001</v>
      </c>
    </row>
    <row r="19" spans="1:10" x14ac:dyDescent="0.35">
      <c r="A19" s="27" t="s">
        <v>18</v>
      </c>
      <c r="B19" s="5">
        <v>10.587</v>
      </c>
      <c r="C19" s="5">
        <v>2.95</v>
      </c>
      <c r="D19" s="5">
        <v>1.8839999999999999</v>
      </c>
      <c r="E19" s="5">
        <v>13.186999999999999</v>
      </c>
      <c r="F19" s="5">
        <v>1.038</v>
      </c>
      <c r="G19" s="5">
        <v>0.72</v>
      </c>
      <c r="H19" s="5">
        <v>1.1499999999999999</v>
      </c>
      <c r="I19" s="5">
        <v>1.8</v>
      </c>
      <c r="J19" s="5">
        <v>0.439</v>
      </c>
    </row>
    <row r="20" spans="1:10" ht="18.5" x14ac:dyDescent="0.35">
      <c r="A20" s="28" t="s">
        <v>24</v>
      </c>
      <c r="B20" s="29">
        <f t="shared" ref="B20:J20" si="0">SUM(B2:B19)</f>
        <v>197.68699999999998</v>
      </c>
      <c r="C20" s="29">
        <f t="shared" si="0"/>
        <v>90.527000000000015</v>
      </c>
      <c r="D20" s="29">
        <f t="shared" si="0"/>
        <v>23.010999999999999</v>
      </c>
      <c r="E20" s="29">
        <f t="shared" si="0"/>
        <v>455.27900000000005</v>
      </c>
      <c r="F20" s="29">
        <f t="shared" si="0"/>
        <v>55.405999999999999</v>
      </c>
      <c r="G20" s="29">
        <f t="shared" si="0"/>
        <v>45.365000000000002</v>
      </c>
      <c r="H20" s="29">
        <f t="shared" si="0"/>
        <v>80.416000000000011</v>
      </c>
      <c r="I20" s="29">
        <f t="shared" si="0"/>
        <v>10.789000000000001</v>
      </c>
      <c r="J20" s="29">
        <f t="shared" si="0"/>
        <v>25.309000000000005</v>
      </c>
    </row>
  </sheetData>
  <conditionalFormatting sqref="B2:J20">
    <cfRule type="cellIs" dxfId="15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382F-A16E-4853-884A-CFBEC9B21CB4}">
  <dimension ref="A1:C21"/>
  <sheetViews>
    <sheetView topLeftCell="A8" workbookViewId="0">
      <selection activeCell="D12" sqref="D12"/>
    </sheetView>
  </sheetViews>
  <sheetFormatPr defaultRowHeight="14.5" x14ac:dyDescent="0.35"/>
  <cols>
    <col min="1" max="1" width="15.81640625" bestFit="1" customWidth="1"/>
  </cols>
  <sheetData>
    <row r="1" spans="1:3" x14ac:dyDescent="0.35">
      <c r="A1" s="80" t="s">
        <v>0</v>
      </c>
      <c r="B1" s="81" t="s">
        <v>202</v>
      </c>
      <c r="C1" s="81"/>
    </row>
    <row r="2" spans="1:3" x14ac:dyDescent="0.35">
      <c r="A2" s="80"/>
      <c r="B2" s="23">
        <v>2025</v>
      </c>
      <c r="C2" s="23">
        <v>2024</v>
      </c>
    </row>
    <row r="3" spans="1:3" x14ac:dyDescent="0.35">
      <c r="A3" s="27" t="s">
        <v>10</v>
      </c>
      <c r="B3" s="5">
        <v>3.4889999999999999</v>
      </c>
      <c r="C3" s="5">
        <v>2.5099999999999998</v>
      </c>
    </row>
    <row r="4" spans="1:3" x14ac:dyDescent="0.35">
      <c r="A4" s="27" t="s">
        <v>30</v>
      </c>
      <c r="B4" s="5">
        <v>5.2089999999999996</v>
      </c>
      <c r="C4" s="5">
        <v>4.032</v>
      </c>
    </row>
    <row r="5" spans="1:3" x14ac:dyDescent="0.35">
      <c r="A5" s="27" t="s">
        <v>33</v>
      </c>
      <c r="B5" s="5">
        <v>1.2629999999999999</v>
      </c>
      <c r="C5" s="5">
        <v>2.9569999999999999</v>
      </c>
    </row>
    <row r="6" spans="1:3" x14ac:dyDescent="0.35">
      <c r="A6" s="27" t="s">
        <v>64</v>
      </c>
      <c r="B6" s="31">
        <v>2.7269999999999999</v>
      </c>
      <c r="C6" s="31">
        <v>5.7930000000000001</v>
      </c>
    </row>
    <row r="7" spans="1:3" x14ac:dyDescent="0.35">
      <c r="A7" s="27" t="s">
        <v>184</v>
      </c>
      <c r="B7" s="16">
        <v>1.2749999999999999</v>
      </c>
      <c r="C7" s="16">
        <v>1.198</v>
      </c>
    </row>
    <row r="8" spans="1:3" x14ac:dyDescent="0.35">
      <c r="A8" s="27" t="s">
        <v>11</v>
      </c>
      <c r="B8" s="18">
        <v>5.8310000000000004</v>
      </c>
      <c r="C8" s="18">
        <v>12.2</v>
      </c>
    </row>
    <row r="9" spans="1:3" x14ac:dyDescent="0.35">
      <c r="A9" s="27" t="s">
        <v>12</v>
      </c>
      <c r="B9" s="5">
        <v>1.68</v>
      </c>
      <c r="C9" s="5">
        <v>1.4279999999999999</v>
      </c>
    </row>
    <row r="10" spans="1:3" x14ac:dyDescent="0.35">
      <c r="A10" s="27" t="s">
        <v>13</v>
      </c>
      <c r="B10" s="5">
        <v>0.48199999999999998</v>
      </c>
      <c r="C10" s="5">
        <v>0.46100000000000002</v>
      </c>
    </row>
    <row r="11" spans="1:3" x14ac:dyDescent="0.35">
      <c r="A11" s="27" t="s">
        <v>185</v>
      </c>
      <c r="B11" s="5">
        <v>0.36699999999999999</v>
      </c>
      <c r="C11" s="5">
        <v>0.83199999999999996</v>
      </c>
    </row>
    <row r="12" spans="1:3" x14ac:dyDescent="0.35">
      <c r="A12" s="27" t="s">
        <v>14</v>
      </c>
      <c r="B12" s="5">
        <v>29.51</v>
      </c>
      <c r="C12" s="5">
        <v>18.940000000000001</v>
      </c>
    </row>
    <row r="13" spans="1:3" x14ac:dyDescent="0.35">
      <c r="A13" s="27" t="s">
        <v>15</v>
      </c>
      <c r="B13" s="5">
        <v>2.7669999999999999</v>
      </c>
      <c r="C13" s="5">
        <v>2.02</v>
      </c>
    </row>
    <row r="14" spans="1:3" x14ac:dyDescent="0.35">
      <c r="A14" s="27" t="s">
        <v>31</v>
      </c>
      <c r="B14" s="5">
        <v>0.98799999999999999</v>
      </c>
      <c r="C14" s="5">
        <v>0.98099999999999998</v>
      </c>
    </row>
    <row r="15" spans="1:3" x14ac:dyDescent="0.35">
      <c r="A15" s="27" t="s">
        <v>16</v>
      </c>
      <c r="B15" s="5">
        <v>2.0990000000000002</v>
      </c>
      <c r="C15" s="5">
        <v>1.3080000000000001</v>
      </c>
    </row>
    <row r="16" spans="1:3" x14ac:dyDescent="0.35">
      <c r="A16" s="27" t="s">
        <v>17</v>
      </c>
      <c r="B16" s="18">
        <v>2.7090000000000001</v>
      </c>
      <c r="C16" s="18">
        <v>11.73</v>
      </c>
    </row>
    <row r="17" spans="1:3" x14ac:dyDescent="0.35">
      <c r="A17" s="27" t="s">
        <v>139</v>
      </c>
      <c r="B17" s="5">
        <v>21.373000000000001</v>
      </c>
      <c r="C17" s="5">
        <v>19.62</v>
      </c>
    </row>
    <row r="18" spans="1:3" x14ac:dyDescent="0.35">
      <c r="A18" s="27" t="s">
        <v>19</v>
      </c>
      <c r="B18" s="5">
        <v>4.6550000000000002</v>
      </c>
      <c r="C18" s="5">
        <v>5.0330000000000004</v>
      </c>
    </row>
    <row r="19" spans="1:3" x14ac:dyDescent="0.35">
      <c r="A19" s="27" t="s">
        <v>32</v>
      </c>
      <c r="B19" s="5">
        <v>1.153</v>
      </c>
      <c r="C19" s="5">
        <v>0.96299999999999997</v>
      </c>
    </row>
    <row r="20" spans="1:3" x14ac:dyDescent="0.35">
      <c r="A20" s="27" t="s">
        <v>18</v>
      </c>
      <c r="B20" s="5">
        <v>2.95</v>
      </c>
      <c r="C20" s="5">
        <v>1.5609999999999999</v>
      </c>
    </row>
    <row r="21" spans="1:3" x14ac:dyDescent="0.35">
      <c r="A21" s="27" t="s">
        <v>24</v>
      </c>
      <c r="B21" s="67">
        <f>SUM(B3:B20)</f>
        <v>90.527000000000015</v>
      </c>
      <c r="C21" s="67">
        <f>SUM(C3:C20)</f>
        <v>93.567000000000007</v>
      </c>
    </row>
  </sheetData>
  <mergeCells count="2">
    <mergeCell ref="A1:A2"/>
    <mergeCell ref="B1:C1"/>
  </mergeCells>
  <conditionalFormatting sqref="B3:C20">
    <cfRule type="cellIs" dxfId="14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opLeftCell="C5" workbookViewId="0">
      <selection activeCell="H16" sqref="H16"/>
    </sheetView>
  </sheetViews>
  <sheetFormatPr defaultColWidth="10.90625" defaultRowHeight="14.5" x14ac:dyDescent="0.35"/>
  <cols>
    <col min="1" max="1" width="15.81640625" bestFit="1" customWidth="1"/>
    <col min="2" max="2" width="12.54296875" bestFit="1" customWidth="1"/>
  </cols>
  <sheetData>
    <row r="1" spans="1:5" x14ac:dyDescent="0.35">
      <c r="A1" s="76" t="s">
        <v>0</v>
      </c>
      <c r="B1" s="74" t="s">
        <v>21</v>
      </c>
      <c r="C1" s="75"/>
      <c r="D1" s="74" t="s">
        <v>22</v>
      </c>
      <c r="E1" s="75"/>
    </row>
    <row r="2" spans="1:5" x14ac:dyDescent="0.35">
      <c r="A2" s="77"/>
      <c r="B2" s="33">
        <v>2025</v>
      </c>
      <c r="C2" s="33">
        <v>2024</v>
      </c>
      <c r="D2" s="33">
        <v>2025</v>
      </c>
      <c r="E2" s="33">
        <v>2024</v>
      </c>
    </row>
    <row r="3" spans="1:5" x14ac:dyDescent="0.35">
      <c r="A3" s="24" t="s">
        <v>10</v>
      </c>
      <c r="B3" s="59">
        <f>'Données financières brutes'!F3/'Données financières brutes'!B3</f>
        <v>0.22310183519251531</v>
      </c>
      <c r="C3" s="59">
        <f>'Données financières brutes'!G3/'Données financières brutes'!C3</f>
        <v>0.12971971276349317</v>
      </c>
      <c r="D3" s="1">
        <f t="shared" ref="D3:D20" si="0">B3-B$21</f>
        <v>0.10670065554994902</v>
      </c>
      <c r="E3" s="1">
        <f t="shared" ref="E3:E20" si="1">C3-C$21</f>
        <v>-3.2273774453437931E-2</v>
      </c>
    </row>
    <row r="4" spans="1:5" x14ac:dyDescent="0.35">
      <c r="A4" s="25" t="s">
        <v>30</v>
      </c>
      <c r="B4" s="60">
        <f>'Données financières brutes'!F4/'Données financières brutes'!B4</f>
        <v>0.18762006403415157</v>
      </c>
      <c r="C4" s="60">
        <f>'Données financières brutes'!G4/'Données financières brutes'!C4</f>
        <v>0.11415044713308785</v>
      </c>
      <c r="D4" s="1">
        <f t="shared" si="0"/>
        <v>7.1218884391585288E-2</v>
      </c>
      <c r="E4" s="1">
        <f t="shared" si="1"/>
        <v>-4.7843040083843255E-2</v>
      </c>
    </row>
    <row r="5" spans="1:5" x14ac:dyDescent="0.35">
      <c r="A5" s="26" t="s">
        <v>33</v>
      </c>
      <c r="B5" s="60">
        <f>'Données financières brutes'!F5/'Données financières brutes'!B5</f>
        <v>-2.9717931497649425E-2</v>
      </c>
      <c r="C5" s="60">
        <f>'Données financières brutes'!G5/'Données financières brutes'!C5</f>
        <v>5.1093725051892067E-2</v>
      </c>
      <c r="D5" s="1">
        <f t="shared" si="0"/>
        <v>-0.1461191111402157</v>
      </c>
      <c r="E5" s="1">
        <f t="shared" si="1"/>
        <v>-0.11089976216503904</v>
      </c>
    </row>
    <row r="6" spans="1:5" x14ac:dyDescent="0.35">
      <c r="A6" s="27" t="s">
        <v>64</v>
      </c>
      <c r="B6" s="61">
        <f>'Données financières brutes'!F6/'Données financières brutes'!B6</f>
        <v>5.1265043115701694E-2</v>
      </c>
      <c r="C6" s="61">
        <f>'Données financières brutes'!G6/'Données financières brutes'!C6</f>
        <v>0.21505376344086019</v>
      </c>
      <c r="D6" s="34">
        <f t="shared" si="0"/>
        <v>-6.5136136526864591E-2</v>
      </c>
      <c r="E6" s="34">
        <f t="shared" si="1"/>
        <v>5.3060276223929087E-2</v>
      </c>
    </row>
    <row r="7" spans="1:5" x14ac:dyDescent="0.35">
      <c r="A7" s="24" t="s">
        <v>184</v>
      </c>
      <c r="B7" s="60">
        <f>'Données financières brutes'!F7/'Données financières brutes'!B7</f>
        <v>-0.15971873430436967</v>
      </c>
      <c r="C7" s="60">
        <f>'Données financières brutes'!G7/'Données financières brutes'!C7</f>
        <v>7.6223473365093108E-2</v>
      </c>
      <c r="D7" s="1">
        <f t="shared" si="0"/>
        <v>-0.27611991394693597</v>
      </c>
      <c r="E7" s="1">
        <f t="shared" si="1"/>
        <v>-8.5770013851837995E-2</v>
      </c>
    </row>
    <row r="8" spans="1:5" x14ac:dyDescent="0.35">
      <c r="A8" s="24" t="s">
        <v>11</v>
      </c>
      <c r="B8" s="62">
        <f>'Données financières brutes'!F8/'Données financières brutes'!B8</f>
        <v>9.8009550375868754E-2</v>
      </c>
      <c r="C8" s="62">
        <f>'Données financières brutes'!G8/'Données financières brutes'!C8</f>
        <v>0.28384513785702492</v>
      </c>
      <c r="D8" s="35">
        <f t="shared" si="0"/>
        <v>-1.8391629266697532E-2</v>
      </c>
      <c r="E8" s="35">
        <f t="shared" si="1"/>
        <v>0.12185165064009382</v>
      </c>
    </row>
    <row r="9" spans="1:5" x14ac:dyDescent="0.35">
      <c r="A9" s="27" t="s">
        <v>12</v>
      </c>
      <c r="B9" s="60">
        <f>'Données financières brutes'!F9/'Données financières brutes'!B9</f>
        <v>0.20351023819473466</v>
      </c>
      <c r="C9" s="60">
        <f>'Données financières brutes'!G9/'Données financières brutes'!C9</f>
        <v>0.28436516264428124</v>
      </c>
      <c r="D9" s="1">
        <f t="shared" si="0"/>
        <v>8.710905855216837E-2</v>
      </c>
      <c r="E9" s="1">
        <f t="shared" si="1"/>
        <v>0.12237167542735014</v>
      </c>
    </row>
    <row r="10" spans="1:5" x14ac:dyDescent="0.35">
      <c r="A10" s="27" t="s">
        <v>13</v>
      </c>
      <c r="B10" s="60">
        <f>'Données financières brutes'!F10/'Données financières brutes'!B10</f>
        <v>4.8287478944413251E-2</v>
      </c>
      <c r="C10" s="60">
        <f>'Données financières brutes'!G10/'Données financières brutes'!C10</f>
        <v>8.1415929203539822E-2</v>
      </c>
      <c r="D10" s="1">
        <f t="shared" si="0"/>
        <v>-6.8113700698153035E-2</v>
      </c>
      <c r="E10" s="1">
        <f t="shared" si="1"/>
        <v>-8.0577558013391282E-2</v>
      </c>
    </row>
    <row r="11" spans="1:5" x14ac:dyDescent="0.35">
      <c r="A11" s="27" t="s">
        <v>185</v>
      </c>
      <c r="B11" s="60">
        <f>'Données financières brutes'!F11/'Données financières brutes'!B11</f>
        <v>-0.82079459002535915</v>
      </c>
      <c r="C11" s="60">
        <f>'Données financières brutes'!G11/'Données financières brutes'!C11</f>
        <v>-1.3463324048282268E-2</v>
      </c>
      <c r="D11" s="1">
        <f t="shared" si="0"/>
        <v>-0.93719576966792539</v>
      </c>
      <c r="E11" s="1">
        <f t="shared" si="1"/>
        <v>-0.17545681126521337</v>
      </c>
    </row>
    <row r="12" spans="1:5" x14ac:dyDescent="0.35">
      <c r="A12" s="27" t="s">
        <v>14</v>
      </c>
      <c r="B12" s="60">
        <f>'Données financières brutes'!F12/'Données financières brutes'!B12</f>
        <v>0.34096937545213407</v>
      </c>
      <c r="C12" s="60">
        <f>'Données financières brutes'!G12/'Données financières brutes'!C12</f>
        <v>0.17609079787957049</v>
      </c>
      <c r="D12" s="1">
        <f t="shared" si="0"/>
        <v>0.22456819580956777</v>
      </c>
      <c r="E12" s="1">
        <f t="shared" si="1"/>
        <v>1.409731066263939E-2</v>
      </c>
    </row>
    <row r="13" spans="1:5" x14ac:dyDescent="0.35">
      <c r="A13" s="27" t="s">
        <v>15</v>
      </c>
      <c r="B13" s="60">
        <f>'Données financières brutes'!F13/'Données financières brutes'!B13</f>
        <v>3.6100453435647016E-2</v>
      </c>
      <c r="C13" s="60">
        <f>'Données financières brutes'!G13/'Données financières brutes'!C13</f>
        <v>-4.8498009410061535E-2</v>
      </c>
      <c r="D13" s="1">
        <f t="shared" si="0"/>
        <v>-8.0300726206919276E-2</v>
      </c>
      <c r="E13" s="1">
        <f t="shared" si="1"/>
        <v>-0.21049149662699262</v>
      </c>
    </row>
    <row r="14" spans="1:5" x14ac:dyDescent="0.35">
      <c r="A14" s="27" t="s">
        <v>31</v>
      </c>
      <c r="B14" s="60">
        <f>'Données financières brutes'!F14/'Données financières brutes'!B14</f>
        <v>-6.5946348733233975E-2</v>
      </c>
      <c r="C14" s="60">
        <f>'Données financières brutes'!G14/'Données financières brutes'!C14</f>
        <v>7.5330239200285601E-2</v>
      </c>
      <c r="D14" s="1">
        <f t="shared" si="0"/>
        <v>-0.18234752837580026</v>
      </c>
      <c r="E14" s="1">
        <f t="shared" si="1"/>
        <v>-8.6663248016645503E-2</v>
      </c>
    </row>
    <row r="15" spans="1:5" x14ac:dyDescent="0.35">
      <c r="A15" s="27" t="s">
        <v>16</v>
      </c>
      <c r="B15" s="60">
        <f>'Données financières brutes'!F15/'Données financières brutes'!B15</f>
        <v>0.23686405337781485</v>
      </c>
      <c r="C15" s="60">
        <f>'Données financières brutes'!G15/'Données financières brutes'!C15</f>
        <v>0.15463458110516931</v>
      </c>
      <c r="D15" s="1">
        <f t="shared" si="0"/>
        <v>0.12046287373524857</v>
      </c>
      <c r="E15" s="1">
        <f t="shared" si="1"/>
        <v>-7.3589061117617927E-3</v>
      </c>
    </row>
    <row r="16" spans="1:5" x14ac:dyDescent="0.35">
      <c r="A16" s="27" t="s">
        <v>17</v>
      </c>
      <c r="B16" s="62">
        <f>'Données financières brutes'!F16/'Données financières brutes'!B16</f>
        <v>1.6654049962149888E-2</v>
      </c>
      <c r="C16" s="62">
        <f>'Données financières brutes'!G16/'Données financières brutes'!C16</f>
        <v>0.25264079369711112</v>
      </c>
      <c r="D16" s="35">
        <f t="shared" si="0"/>
        <v>-9.9747129680416394E-2</v>
      </c>
      <c r="E16" s="35">
        <f t="shared" si="1"/>
        <v>9.0647306480180018E-2</v>
      </c>
    </row>
    <row r="17" spans="1:5" x14ac:dyDescent="0.35">
      <c r="A17" s="27" t="s">
        <v>139</v>
      </c>
      <c r="B17" s="60">
        <f>'Données financières brutes'!F17/'Données financières brutes'!B17</f>
        <v>7.4364362658791011E-2</v>
      </c>
      <c r="C17" s="60">
        <f>'Données financières brutes'!G17/'Données financières brutes'!C17</f>
        <v>0.10914911404277879</v>
      </c>
      <c r="D17" s="1">
        <f t="shared" si="0"/>
        <v>-4.2036816983775274E-2</v>
      </c>
      <c r="E17" s="1">
        <f t="shared" si="1"/>
        <v>-5.2844373174152318E-2</v>
      </c>
    </row>
    <row r="18" spans="1:5" x14ac:dyDescent="0.35">
      <c r="A18" s="27" t="s">
        <v>19</v>
      </c>
      <c r="B18" s="60">
        <f>'Données financières brutes'!F18/'Données financières brutes'!B18</f>
        <v>0.17811395759717316</v>
      </c>
      <c r="C18" s="60">
        <f>'Données financières brutes'!G18/'Données financières brutes'!C18</f>
        <v>0.1832186768149883</v>
      </c>
      <c r="D18" s="1">
        <f t="shared" si="0"/>
        <v>6.1712777954606876E-2</v>
      </c>
      <c r="E18" s="1">
        <f t="shared" si="1"/>
        <v>2.1225189598057193E-2</v>
      </c>
    </row>
    <row r="19" spans="1:5" x14ac:dyDescent="0.35">
      <c r="A19" s="27" t="s">
        <v>32</v>
      </c>
      <c r="B19" s="60">
        <f>'Données financières brutes'!F19/'Données financières brutes'!B19</f>
        <v>9.3308778391651317E-2</v>
      </c>
      <c r="C19" s="60">
        <f>'Données financières brutes'!G19/'Données financières brutes'!C19</f>
        <v>0.11442112389979689</v>
      </c>
      <c r="D19" s="1">
        <f t="shared" si="0"/>
        <v>-2.3092401250914968E-2</v>
      </c>
      <c r="E19" s="1">
        <f t="shared" si="1"/>
        <v>-4.7572363317134214E-2</v>
      </c>
    </row>
    <row r="20" spans="1:5" x14ac:dyDescent="0.35">
      <c r="A20" s="27" t="s">
        <v>18</v>
      </c>
      <c r="B20" s="60">
        <f>'Données financières brutes'!F20/'Données financières brutes'!B20</f>
        <v>0.17795409464437517</v>
      </c>
      <c r="C20" s="60">
        <f>'Données financières brutes'!G20/'Données financières brutes'!C20</f>
        <v>0.1389176146156498</v>
      </c>
      <c r="D20" s="1">
        <f t="shared" si="0"/>
        <v>6.1552915001808886E-2</v>
      </c>
      <c r="E20" s="1">
        <f t="shared" si="1"/>
        <v>-2.30758726012813E-2</v>
      </c>
    </row>
    <row r="21" spans="1:5" ht="15.5" x14ac:dyDescent="0.35">
      <c r="A21" s="38" t="s">
        <v>23</v>
      </c>
      <c r="B21" s="63">
        <f>'Données financières brutes'!F21/'Données financières brutes'!B21</f>
        <v>0.11640117964256629</v>
      </c>
      <c r="C21" s="63">
        <f>'Données financières brutes'!G21/'Données financières brutes'!C21</f>
        <v>0.1619934872169311</v>
      </c>
      <c r="D21" s="1"/>
      <c r="E21" s="1"/>
    </row>
  </sheetData>
  <mergeCells count="3">
    <mergeCell ref="B1:C1"/>
    <mergeCell ref="A1:A2"/>
    <mergeCell ref="D1:E1"/>
  </mergeCells>
  <conditionalFormatting sqref="D3:E20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topLeftCell="A6" workbookViewId="0">
      <selection activeCell="H17" sqref="H17"/>
    </sheetView>
  </sheetViews>
  <sheetFormatPr defaultColWidth="10.90625" defaultRowHeight="14.5" x14ac:dyDescent="0.35"/>
  <cols>
    <col min="1" max="1" width="15.81640625" bestFit="1" customWidth="1"/>
  </cols>
  <sheetData>
    <row r="1" spans="1:5" x14ac:dyDescent="0.35">
      <c r="A1" s="76" t="s">
        <v>0</v>
      </c>
      <c r="B1" s="74" t="s">
        <v>27</v>
      </c>
      <c r="C1" s="75"/>
      <c r="D1" s="74" t="s">
        <v>22</v>
      </c>
      <c r="E1" s="75"/>
    </row>
    <row r="2" spans="1:5" x14ac:dyDescent="0.35">
      <c r="A2" s="77"/>
      <c r="B2" s="33">
        <v>2025</v>
      </c>
      <c r="C2" s="33">
        <v>2024</v>
      </c>
      <c r="D2" s="33">
        <v>2025</v>
      </c>
      <c r="E2" s="33">
        <v>2024</v>
      </c>
    </row>
    <row r="3" spans="1:5" x14ac:dyDescent="0.35">
      <c r="A3" s="24" t="s">
        <v>10</v>
      </c>
      <c r="B3" s="59">
        <f>'Données financières brutes'!L3/'Données financières brutes'!D3</f>
        <v>0.46632272857552309</v>
      </c>
      <c r="C3" s="59">
        <f>'Données financières brutes'!M3/'Données financières brutes'!E3</f>
        <v>0.50956175298804784</v>
      </c>
      <c r="D3" s="1">
        <f>B3-B$21</f>
        <v>-3.4798483880429221E-2</v>
      </c>
      <c r="E3" s="1">
        <f>C3-C$21</f>
        <v>8.8772372116586784E-2</v>
      </c>
    </row>
    <row r="4" spans="1:5" x14ac:dyDescent="0.35">
      <c r="A4" s="25" t="s">
        <v>30</v>
      </c>
      <c r="B4" s="60">
        <f>'Données financières brutes'!L4/'Données financières brutes'!D4</f>
        <v>0.66097139566135543</v>
      </c>
      <c r="C4" s="60">
        <f>'Données financières brutes'!M4/'Données financières brutes'!E4</f>
        <v>0.69270833333333337</v>
      </c>
      <c r="D4" s="1">
        <f t="shared" ref="D4:D20" si="0">B4-B$21</f>
        <v>0.15985018320540312</v>
      </c>
      <c r="E4" s="1">
        <f t="shared" ref="E4:E20" si="1">C4-C$21</f>
        <v>0.27191895246187231</v>
      </c>
    </row>
    <row r="5" spans="1:5" x14ac:dyDescent="0.35">
      <c r="A5" s="26" t="s">
        <v>33</v>
      </c>
      <c r="B5" s="60">
        <f>'Données financières brutes'!L5/'Données financières brutes'!D5</f>
        <v>1.1836896278701505</v>
      </c>
      <c r="C5" s="60">
        <f>'Données financières brutes'!M5/'Données financières brutes'!E5</f>
        <v>0.5072708826513358</v>
      </c>
      <c r="D5" s="1">
        <f t="shared" si="0"/>
        <v>0.68256841541419822</v>
      </c>
      <c r="E5" s="1">
        <f t="shared" si="1"/>
        <v>8.6481501779874737E-2</v>
      </c>
    </row>
    <row r="6" spans="1:5" x14ac:dyDescent="0.35">
      <c r="A6" s="27" t="s">
        <v>64</v>
      </c>
      <c r="B6" s="61">
        <f>'Données financières brutes'!L6/'Données financières brutes'!D6</f>
        <v>0.79024569123579025</v>
      </c>
      <c r="C6" s="61">
        <f>'Données financières brutes'!M6/'Données financières brutes'!E6</f>
        <v>0.34662523735542894</v>
      </c>
      <c r="D6" s="34">
        <f t="shared" si="0"/>
        <v>0.28912447877983793</v>
      </c>
      <c r="E6" s="34">
        <f t="shared" si="1"/>
        <v>-7.4164143516032122E-2</v>
      </c>
    </row>
    <row r="7" spans="1:5" x14ac:dyDescent="0.35">
      <c r="A7" s="24" t="s">
        <v>184</v>
      </c>
      <c r="B7" s="60">
        <f>'Données financières brutes'!L7/'Données financières brutes'!D7</f>
        <v>0.52313725490196084</v>
      </c>
      <c r="C7" s="60">
        <f>'Données financières brutes'!M7/'Données financières brutes'!E7</f>
        <v>0.44824707846410689</v>
      </c>
      <c r="D7" s="1">
        <f t="shared" si="0"/>
        <v>2.2016042446008521E-2</v>
      </c>
      <c r="E7" s="1">
        <f t="shared" si="1"/>
        <v>2.7457697592645824E-2</v>
      </c>
    </row>
    <row r="8" spans="1:5" x14ac:dyDescent="0.35">
      <c r="A8" s="24" t="s">
        <v>11</v>
      </c>
      <c r="B8" s="62">
        <f>'Données financières brutes'!L8/'Données financières brutes'!D8</f>
        <v>0.78185559938261018</v>
      </c>
      <c r="C8" s="62">
        <f>'Données financières brutes'!M8/'Données financières brutes'!E8</f>
        <v>0.31360655737704918</v>
      </c>
      <c r="D8" s="35">
        <f t="shared" si="0"/>
        <v>0.28073438692665786</v>
      </c>
      <c r="E8" s="35">
        <f t="shared" si="1"/>
        <v>-0.10718282349441188</v>
      </c>
    </row>
    <row r="9" spans="1:5" x14ac:dyDescent="0.35">
      <c r="A9" s="27" t="s">
        <v>12</v>
      </c>
      <c r="B9" s="60">
        <f>'Données financières brutes'!L9/'Données financières brutes'!D9</f>
        <v>0.41249999999999998</v>
      </c>
      <c r="C9" s="60">
        <f>'Données financières brutes'!M9/'Données financières brutes'!E9</f>
        <v>0.41526610644257705</v>
      </c>
      <c r="D9" s="1">
        <f t="shared" si="0"/>
        <v>-8.8621212455952336E-2</v>
      </c>
      <c r="E9" s="1">
        <f t="shared" si="1"/>
        <v>-5.5232744288840063E-3</v>
      </c>
    </row>
    <row r="10" spans="1:5" x14ac:dyDescent="0.35">
      <c r="A10" s="27" t="s">
        <v>13</v>
      </c>
      <c r="B10" s="60">
        <f>'Données financières brutes'!L10/'Données financières brutes'!D10</f>
        <v>0.71576763485477179</v>
      </c>
      <c r="C10" s="60">
        <f>'Données financières brutes'!M10/'Données financières brutes'!E10</f>
        <v>0.5488069414316703</v>
      </c>
      <c r="D10" s="1">
        <f t="shared" si="0"/>
        <v>0.21464642239881948</v>
      </c>
      <c r="E10" s="1">
        <f t="shared" si="1"/>
        <v>0.12801756056020924</v>
      </c>
    </row>
    <row r="11" spans="1:5" x14ac:dyDescent="0.35">
      <c r="A11" s="27" t="s">
        <v>185</v>
      </c>
      <c r="B11" s="60">
        <f>'Données financières brutes'!L11/'Données financières brutes'!D11</f>
        <v>2.215258855585831</v>
      </c>
      <c r="C11" s="60">
        <f>'Données financières brutes'!M11/'Données financières brutes'!E11</f>
        <v>0.88461538461538469</v>
      </c>
      <c r="D11" s="1">
        <f t="shared" si="0"/>
        <v>1.7141376431298787</v>
      </c>
      <c r="E11" s="1">
        <f t="shared" si="1"/>
        <v>0.46382600374392363</v>
      </c>
    </row>
    <row r="12" spans="1:5" x14ac:dyDescent="0.35">
      <c r="A12" s="27" t="s">
        <v>14</v>
      </c>
      <c r="B12" s="60">
        <f>'Données financières brutes'!L12/'Données financières brutes'!D12</f>
        <v>0.21324974584886477</v>
      </c>
      <c r="C12" s="60">
        <f>'Données financières brutes'!M12/'Données financières brutes'!E12</f>
        <v>0.31029567053854273</v>
      </c>
      <c r="D12" s="1">
        <f t="shared" si="0"/>
        <v>-0.28787146660708751</v>
      </c>
      <c r="E12" s="1">
        <f t="shared" si="1"/>
        <v>-0.11049371033291833</v>
      </c>
    </row>
    <row r="13" spans="1:5" x14ac:dyDescent="0.35">
      <c r="A13" s="27" t="s">
        <v>15</v>
      </c>
      <c r="B13" s="60">
        <f>'Données financières brutes'!L13/'Données financières brutes'!D13</f>
        <v>0.42753885074087461</v>
      </c>
      <c r="C13" s="60">
        <f>'Données financières brutes'!M13/'Données financières brutes'!E13</f>
        <v>0.51237623762376239</v>
      </c>
      <c r="D13" s="1">
        <f t="shared" si="0"/>
        <v>-7.3582361715077704E-2</v>
      </c>
      <c r="E13" s="1">
        <f t="shared" si="1"/>
        <v>9.1586856752301327E-2</v>
      </c>
    </row>
    <row r="14" spans="1:5" x14ac:dyDescent="0.35">
      <c r="A14" s="27" t="s">
        <v>31</v>
      </c>
      <c r="B14" s="60">
        <f>'Données financières brutes'!L14/'Données financières brutes'!D14</f>
        <v>0.82287449392712542</v>
      </c>
      <c r="C14" s="60">
        <f>'Données financières brutes'!M14/'Données financières brutes'!E14</f>
        <v>0.75025484199796122</v>
      </c>
      <c r="D14" s="1">
        <f t="shared" si="0"/>
        <v>0.3217532814711731</v>
      </c>
      <c r="E14" s="1">
        <f t="shared" si="1"/>
        <v>0.32946546112650016</v>
      </c>
    </row>
    <row r="15" spans="1:5" x14ac:dyDescent="0.35">
      <c r="A15" s="27" t="s">
        <v>16</v>
      </c>
      <c r="B15" s="60">
        <f>'Données financières brutes'!L15/'Données financières brutes'!D15</f>
        <v>0.35683658885183417</v>
      </c>
      <c r="C15" s="60">
        <f>'Données financières brutes'!M15/'Données financières brutes'!E15</f>
        <v>0.55886850152905199</v>
      </c>
      <c r="D15" s="1">
        <f t="shared" si="0"/>
        <v>-0.14428462360411815</v>
      </c>
      <c r="E15" s="1">
        <f t="shared" si="1"/>
        <v>0.13807912065759093</v>
      </c>
    </row>
    <row r="16" spans="1:5" x14ac:dyDescent="0.35">
      <c r="A16" s="27" t="s">
        <v>17</v>
      </c>
      <c r="B16" s="62">
        <f>'Données financières brutes'!L16/'Données financières brutes'!D16</f>
        <v>1.0705057216685123</v>
      </c>
      <c r="C16" s="62">
        <f>'Données financières brutes'!M16/'Données financières brutes'!E16</f>
        <v>0.24433077578857629</v>
      </c>
      <c r="D16" s="35">
        <f t="shared" si="0"/>
        <v>0.56938450921256001</v>
      </c>
      <c r="E16" s="35">
        <f t="shared" si="1"/>
        <v>-0.17645860508288477</v>
      </c>
    </row>
    <row r="17" spans="1:5" x14ac:dyDescent="0.35">
      <c r="A17" s="27" t="s">
        <v>139</v>
      </c>
      <c r="B17" s="60">
        <f>'Données financières brutes'!L17/'Données financières brutes'!D17</f>
        <v>0.70177326533476814</v>
      </c>
      <c r="C17" s="60">
        <f>'Données financières brutes'!M17/'Données financières brutes'!E17</f>
        <v>0.63231396534148832</v>
      </c>
      <c r="D17" s="1">
        <f t="shared" si="0"/>
        <v>0.20065205287881582</v>
      </c>
      <c r="E17" s="1">
        <f t="shared" si="1"/>
        <v>0.21152458447002725</v>
      </c>
    </row>
    <row r="18" spans="1:5" x14ac:dyDescent="0.35">
      <c r="A18" s="27" t="s">
        <v>19</v>
      </c>
      <c r="B18" s="60">
        <f>'Données financières brutes'!L18/'Données financières brutes'!D18</f>
        <v>0.23759398496240602</v>
      </c>
      <c r="C18" s="60">
        <f>'Données financières brutes'!M18/'Données financières brutes'!E18</f>
        <v>0.19014504271806076</v>
      </c>
      <c r="D18" s="1">
        <f t="shared" si="0"/>
        <v>-0.26352722749354629</v>
      </c>
      <c r="E18" s="1">
        <f t="shared" si="1"/>
        <v>-0.2306443381534003</v>
      </c>
    </row>
    <row r="19" spans="1:5" x14ac:dyDescent="0.35">
      <c r="A19" s="27" t="s">
        <v>32</v>
      </c>
      <c r="B19" s="60">
        <f>'Données financières brutes'!L19/'Données financières brutes'!D19</f>
        <v>0.69817866435385956</v>
      </c>
      <c r="C19" s="60">
        <f>'Données financières brutes'!M19/'Données financières brutes'!E19</f>
        <v>0.68847352024922126</v>
      </c>
      <c r="D19" s="1">
        <f t="shared" si="0"/>
        <v>0.19705745189790724</v>
      </c>
      <c r="E19" s="1">
        <f t="shared" si="1"/>
        <v>0.2676841393777602</v>
      </c>
    </row>
    <row r="20" spans="1:5" x14ac:dyDescent="0.35">
      <c r="A20" s="27" t="s">
        <v>18</v>
      </c>
      <c r="B20" s="60">
        <f>'Données financières brutes'!L20/'Données financières brutes'!D20</f>
        <v>0.24406779661016947</v>
      </c>
      <c r="C20" s="60">
        <f>'Données financières brutes'!M20/'Données financières brutes'!E20</f>
        <v>0.36899423446508645</v>
      </c>
      <c r="D20" s="1">
        <f t="shared" si="0"/>
        <v>-0.25705341584578284</v>
      </c>
      <c r="E20" s="1">
        <f t="shared" si="1"/>
        <v>-5.1795146406374615E-2</v>
      </c>
    </row>
    <row r="21" spans="1:5" ht="15.5" x14ac:dyDescent="0.35">
      <c r="A21" s="38" t="s">
        <v>23</v>
      </c>
      <c r="B21" s="63">
        <f>'Données financières brutes'!L21/'Données financières brutes'!D21</f>
        <v>0.50112121245595231</v>
      </c>
      <c r="C21" s="63">
        <f>'Données financières brutes'!M21/'Données financières brutes'!E21</f>
        <v>0.42078938087146106</v>
      </c>
      <c r="D21" s="1"/>
      <c r="E21" s="1"/>
    </row>
  </sheetData>
  <mergeCells count="3">
    <mergeCell ref="A1:A2"/>
    <mergeCell ref="B1:C1"/>
    <mergeCell ref="D1:E1"/>
  </mergeCells>
  <conditionalFormatting sqref="B3:E21">
    <cfRule type="cellIs" dxfId="11" priority="2" operator="lessThan">
      <formula>0</formula>
    </cfRule>
  </conditionalFormatting>
  <conditionalFormatting sqref="D3:E20">
    <cfRule type="cellIs" dxfId="10" priority="1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J11" sqref="J11"/>
    </sheetView>
  </sheetViews>
  <sheetFormatPr defaultColWidth="10.90625" defaultRowHeight="14.5" x14ac:dyDescent="0.35"/>
  <cols>
    <col min="1" max="1" width="15.81640625" bestFit="1" customWidth="1"/>
  </cols>
  <sheetData>
    <row r="1" spans="1:5" x14ac:dyDescent="0.35">
      <c r="A1" s="76" t="s">
        <v>0</v>
      </c>
      <c r="B1" s="74" t="s">
        <v>25</v>
      </c>
      <c r="C1" s="75"/>
      <c r="D1" s="74" t="s">
        <v>22</v>
      </c>
      <c r="E1" s="75"/>
    </row>
    <row r="2" spans="1:5" x14ac:dyDescent="0.35">
      <c r="A2" s="77"/>
      <c r="B2" s="33">
        <v>2025</v>
      </c>
      <c r="C2" s="33">
        <v>2024</v>
      </c>
      <c r="D2" s="33">
        <v>2025</v>
      </c>
      <c r="E2" s="33">
        <v>2024</v>
      </c>
    </row>
    <row r="3" spans="1:5" x14ac:dyDescent="0.35">
      <c r="A3" s="24" t="s">
        <v>10</v>
      </c>
      <c r="B3" s="59">
        <f>'Données financières brutes'!F3/'Données financières brutes'!D3</f>
        <v>0.35540269418171394</v>
      </c>
      <c r="C3" s="59">
        <f>'Données financières brutes'!G3/'Données financières brutes'!E3</f>
        <v>0.22310756972111559</v>
      </c>
      <c r="D3" s="1">
        <f>B3-B$21</f>
        <v>0.1012133363105816</v>
      </c>
      <c r="E3" s="1">
        <f>C3-C$21</f>
        <v>-0.10173986580636737</v>
      </c>
    </row>
    <row r="4" spans="1:5" x14ac:dyDescent="0.35">
      <c r="A4" s="25" t="s">
        <v>30</v>
      </c>
      <c r="B4" s="59">
        <f>'Données financières brutes'!F4/'Données financières brutes'!D4</f>
        <v>0.16874640046074105</v>
      </c>
      <c r="C4" s="59">
        <f>'Données financières brutes'!G4/'Données financières brutes'!E4</f>
        <v>0.10763888888888888</v>
      </c>
      <c r="D4" s="1">
        <f t="shared" ref="D4:D20" si="0">B4-B$21</f>
        <v>-8.544295741039129E-2</v>
      </c>
      <c r="E4" s="1">
        <f t="shared" ref="E4:E20" si="1">C4-C$21</f>
        <v>-0.21720854663859407</v>
      </c>
    </row>
    <row r="5" spans="1:5" x14ac:dyDescent="0.35">
      <c r="A5" s="26" t="s">
        <v>33</v>
      </c>
      <c r="B5" s="59">
        <f>'Données financières brutes'!F5/'Données financières brutes'!D5</f>
        <v>-0.14014251781472684</v>
      </c>
      <c r="C5" s="59">
        <f>'Données financières brutes'!G5/'Données financières brutes'!E5</f>
        <v>0.10821778829895165</v>
      </c>
      <c r="D5" s="1">
        <f t="shared" si="0"/>
        <v>-0.39433187568585915</v>
      </c>
      <c r="E5" s="1">
        <f t="shared" si="1"/>
        <v>-0.21662964722853131</v>
      </c>
    </row>
    <row r="6" spans="1:5" x14ac:dyDescent="0.35">
      <c r="A6" s="27" t="s">
        <v>64</v>
      </c>
      <c r="B6" s="64">
        <f>'Données financières brutes'!F6/'Données financières brutes'!D6</f>
        <v>0.1983865053171984</v>
      </c>
      <c r="C6" s="64">
        <f>'Données financières brutes'!G6/'Données financières brutes'!E6</f>
        <v>0.39012601415501463</v>
      </c>
      <c r="D6" s="34">
        <f t="shared" si="0"/>
        <v>-5.580285255393394E-2</v>
      </c>
      <c r="E6" s="34">
        <f t="shared" si="1"/>
        <v>6.5278578627531669E-2</v>
      </c>
    </row>
    <row r="7" spans="1:5" x14ac:dyDescent="0.35">
      <c r="A7" s="24" t="s">
        <v>184</v>
      </c>
      <c r="B7" s="59">
        <f>'Données financières brutes'!F7/'Données financières brutes'!D7</f>
        <v>-0.24941176470588236</v>
      </c>
      <c r="C7" s="59">
        <f>'Données financières brutes'!G7/'Données financières brutes'!E7</f>
        <v>0.14691151919866444</v>
      </c>
      <c r="D7" s="1">
        <f t="shared" si="0"/>
        <v>-0.50360112257701473</v>
      </c>
      <c r="E7" s="1">
        <f t="shared" si="1"/>
        <v>-0.17793591632881853</v>
      </c>
    </row>
    <row r="8" spans="1:5" x14ac:dyDescent="0.35">
      <c r="A8" s="24" t="s">
        <v>11</v>
      </c>
      <c r="B8" s="65">
        <f>'Données financières brutes'!F8/'Données financières brutes'!D8</f>
        <v>0.35551363402503855</v>
      </c>
      <c r="C8" s="65">
        <f>'Données financières brutes'!G8/'Données financières brutes'!E8</f>
        <v>0.56368852459016394</v>
      </c>
      <c r="D8" s="35">
        <f t="shared" si="0"/>
        <v>0.10132427615390621</v>
      </c>
      <c r="E8" s="35">
        <f t="shared" si="1"/>
        <v>0.23884108906268098</v>
      </c>
    </row>
    <row r="9" spans="1:5" x14ac:dyDescent="0.35">
      <c r="A9" s="27" t="s">
        <v>12</v>
      </c>
      <c r="B9" s="59">
        <f>'Données financières brutes'!F9/'Données financières brutes'!D9</f>
        <v>0.28988095238095241</v>
      </c>
      <c r="C9" s="59">
        <f>'Données financières brutes'!G9/'Données financières brutes'!E9</f>
        <v>0.37955182072829136</v>
      </c>
      <c r="D9" s="1">
        <f t="shared" si="0"/>
        <v>3.5691594509820068E-2</v>
      </c>
      <c r="E9" s="1">
        <f t="shared" si="1"/>
        <v>5.4704385200808392E-2</v>
      </c>
    </row>
    <row r="10" spans="1:5" x14ac:dyDescent="0.35">
      <c r="A10" s="27" t="s">
        <v>13</v>
      </c>
      <c r="B10" s="59">
        <f>'Données financières brutes'!F10/'Données financières brutes'!D10</f>
        <v>0.17842323651452283</v>
      </c>
      <c r="C10" s="59">
        <f>'Données financières brutes'!G10/'Données financières brutes'!E10</f>
        <v>0.29934924078091107</v>
      </c>
      <c r="D10" s="1">
        <f t="shared" si="0"/>
        <v>-7.5766121356609512E-2</v>
      </c>
      <c r="E10" s="1">
        <f t="shared" si="1"/>
        <v>-2.5498194746571889E-2</v>
      </c>
    </row>
    <row r="11" spans="1:5" x14ac:dyDescent="0.35">
      <c r="A11" s="27" t="s">
        <v>185</v>
      </c>
      <c r="B11" s="59">
        <f>'Données financières brutes'!F11/'Données financières brutes'!D11</f>
        <v>-2.6457765667574931</v>
      </c>
      <c r="C11" s="59">
        <f>'Données financières brutes'!G11/'Données financières brutes'!E11</f>
        <v>-3.4855769230769232E-2</v>
      </c>
      <c r="D11" s="1">
        <f t="shared" si="0"/>
        <v>-2.8999659246286256</v>
      </c>
      <c r="E11" s="1">
        <f t="shared" si="1"/>
        <v>-0.35970320475825218</v>
      </c>
    </row>
    <row r="12" spans="1:5" x14ac:dyDescent="0.35">
      <c r="A12" s="27" t="s">
        <v>14</v>
      </c>
      <c r="B12" s="59">
        <f>'Données financières brutes'!F12/'Données financières brutes'!D12</f>
        <v>0.23957980345645544</v>
      </c>
      <c r="C12" s="59">
        <f>'Données financières brutes'!G12/'Données financières brutes'!E12</f>
        <v>0.13680042238648363</v>
      </c>
      <c r="D12" s="1">
        <f t="shared" si="0"/>
        <v>-1.4609554414676901E-2</v>
      </c>
      <c r="E12" s="1">
        <f t="shared" si="1"/>
        <v>-0.18804701314099934</v>
      </c>
    </row>
    <row r="13" spans="1:5" x14ac:dyDescent="0.35">
      <c r="A13" s="27" t="s">
        <v>15</v>
      </c>
      <c r="B13" s="59">
        <f>'Données financières brutes'!F13/'Données financières brutes'!D13</f>
        <v>7.4810263823635703E-2</v>
      </c>
      <c r="C13" s="59">
        <f>'Données financières brutes'!G13/'Données financières brutes'!E13</f>
        <v>-0.13267326732673268</v>
      </c>
      <c r="D13" s="1">
        <f t="shared" si="0"/>
        <v>-0.17937909404749663</v>
      </c>
      <c r="E13" s="1">
        <f t="shared" si="1"/>
        <v>-0.45752070285421564</v>
      </c>
    </row>
    <row r="14" spans="1:5" x14ac:dyDescent="0.35">
      <c r="A14" s="27" t="s">
        <v>31</v>
      </c>
      <c r="B14" s="59">
        <f>'Données financières brutes'!F14/'Données financières brutes'!D14</f>
        <v>-0.1791497975708502</v>
      </c>
      <c r="C14" s="59">
        <f>'Données financières brutes'!G14/'Données financières brutes'!E14</f>
        <v>0.21508664627930682</v>
      </c>
      <c r="D14" s="1">
        <f t="shared" si="0"/>
        <v>-0.43333915544198254</v>
      </c>
      <c r="E14" s="1">
        <f t="shared" si="1"/>
        <v>-0.10976078924817614</v>
      </c>
    </row>
    <row r="15" spans="1:5" x14ac:dyDescent="0.35">
      <c r="A15" s="27" t="s">
        <v>16</v>
      </c>
      <c r="B15" s="59">
        <f>'Données financières brutes'!F15/'Données financières brutes'!D15</f>
        <v>0.40590757503573127</v>
      </c>
      <c r="C15" s="59">
        <f>'Données financières brutes'!G15/'Données financières brutes'!E15</f>
        <v>0.26529051987767582</v>
      </c>
      <c r="D15" s="1">
        <f t="shared" si="0"/>
        <v>0.15171821716459893</v>
      </c>
      <c r="E15" s="1">
        <f t="shared" si="1"/>
        <v>-5.9556915649807141E-2</v>
      </c>
    </row>
    <row r="16" spans="1:5" x14ac:dyDescent="0.35">
      <c r="A16" s="27" t="s">
        <v>17</v>
      </c>
      <c r="B16" s="65">
        <f>'Données financières brutes'!F16/'Données financières brutes'!D16</f>
        <v>9.7452934662236992E-2</v>
      </c>
      <c r="C16" s="65">
        <f>'Données financières brutes'!G16/'Données financières brutes'!E16</f>
        <v>0.36905370843989765</v>
      </c>
      <c r="D16" s="35">
        <f t="shared" si="0"/>
        <v>-0.15673642320889536</v>
      </c>
      <c r="E16" s="35">
        <f t="shared" si="1"/>
        <v>4.420627291241469E-2</v>
      </c>
    </row>
    <row r="17" spans="1:5" x14ac:dyDescent="0.35">
      <c r="A17" s="27" t="s">
        <v>139</v>
      </c>
      <c r="B17" s="59">
        <f>'Données financières brutes'!F17/'Données financières brutes'!D17</f>
        <v>0.18378327796752911</v>
      </c>
      <c r="C17" s="59">
        <f>'Données financières brutes'!G17/'Données financières brutes'!E17</f>
        <v>0.27283384301732921</v>
      </c>
      <c r="D17" s="1">
        <f t="shared" si="0"/>
        <v>-7.040607990360323E-2</v>
      </c>
      <c r="E17" s="1">
        <f t="shared" si="1"/>
        <v>-5.201359251015375E-2</v>
      </c>
    </row>
    <row r="18" spans="1:5" x14ac:dyDescent="0.35">
      <c r="A18" s="27" t="s">
        <v>19</v>
      </c>
      <c r="B18" s="59">
        <f>'Données financières brutes'!F18/'Données financières brutes'!D18</f>
        <v>1.0395273899033297</v>
      </c>
      <c r="C18" s="59">
        <f>'Données financières brutes'!G18/'Données financières brutes'!E18</f>
        <v>0.99483409497317687</v>
      </c>
      <c r="D18" s="1">
        <f t="shared" si="0"/>
        <v>0.78533803203219743</v>
      </c>
      <c r="E18" s="1">
        <f t="shared" si="1"/>
        <v>0.66998665944569391</v>
      </c>
    </row>
    <row r="19" spans="1:5" x14ac:dyDescent="0.35">
      <c r="A19" s="27" t="s">
        <v>32</v>
      </c>
      <c r="B19" s="59">
        <f>'Données financières brutes'!F19/'Données financières brutes'!D19</f>
        <v>0.26366001734605377</v>
      </c>
      <c r="C19" s="59">
        <f>'Données financières brutes'!G19/'Données financières brutes'!E19</f>
        <v>0.35098650051921082</v>
      </c>
      <c r="D19" s="1">
        <f t="shared" si="0"/>
        <v>9.4706594749214279E-3</v>
      </c>
      <c r="E19" s="1">
        <f t="shared" si="1"/>
        <v>2.6139064991727856E-2</v>
      </c>
    </row>
    <row r="20" spans="1:5" x14ac:dyDescent="0.35">
      <c r="A20" s="27" t="s">
        <v>18</v>
      </c>
      <c r="B20" s="59">
        <f>'Données financières brutes'!F20/'Données financières brutes'!D20</f>
        <v>0.63864406779661009</v>
      </c>
      <c r="C20" s="59">
        <f>'Données financières brutes'!G20/'Données financières brutes'!E20</f>
        <v>0.77450352338244721</v>
      </c>
      <c r="D20" s="1">
        <f t="shared" si="0"/>
        <v>0.38445470992547776</v>
      </c>
      <c r="E20" s="1">
        <f t="shared" si="1"/>
        <v>0.44965608785496425</v>
      </c>
    </row>
    <row r="21" spans="1:5" ht="15.5" x14ac:dyDescent="0.35">
      <c r="A21" s="38" t="s">
        <v>23</v>
      </c>
      <c r="B21" s="66">
        <f>'Données financières brutes'!F21/'Données financières brutes'!D21</f>
        <v>0.25418935787113234</v>
      </c>
      <c r="C21" s="66">
        <f>'Données financières brutes'!G21/'Données financières brutes'!E21</f>
        <v>0.32484743552748296</v>
      </c>
      <c r="D21" s="1"/>
      <c r="E21" s="1"/>
    </row>
  </sheetData>
  <mergeCells count="3">
    <mergeCell ref="A1:A2"/>
    <mergeCell ref="B1:C1"/>
    <mergeCell ref="D1:E1"/>
  </mergeCells>
  <conditionalFormatting sqref="D3:E20">
    <cfRule type="cellIs" dxfId="9" priority="1" operator="greaterThan">
      <formula>0</formula>
    </cfRule>
  </conditionalFormatting>
  <conditionalFormatting sqref="D3:E21">
    <cfRule type="cellIs" dxfId="8" priority="2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topLeftCell="A6" workbookViewId="0">
      <selection activeCell="C21" sqref="B3:C21"/>
    </sheetView>
  </sheetViews>
  <sheetFormatPr defaultColWidth="10.90625" defaultRowHeight="14.5" x14ac:dyDescent="0.35"/>
  <cols>
    <col min="1" max="1" width="15.81640625" bestFit="1" customWidth="1"/>
    <col min="2" max="2" width="14.54296875" customWidth="1"/>
    <col min="3" max="3" width="16.26953125" customWidth="1"/>
  </cols>
  <sheetData>
    <row r="1" spans="1:5" x14ac:dyDescent="0.35">
      <c r="A1" s="76" t="s">
        <v>0</v>
      </c>
      <c r="B1" s="74" t="s">
        <v>28</v>
      </c>
      <c r="C1" s="82"/>
      <c r="D1" s="74" t="s">
        <v>22</v>
      </c>
      <c r="E1" s="75"/>
    </row>
    <row r="2" spans="1:5" x14ac:dyDescent="0.35">
      <c r="A2" s="77"/>
      <c r="B2" s="33">
        <v>2025</v>
      </c>
      <c r="C2" s="33">
        <v>2024</v>
      </c>
      <c r="D2" s="33">
        <v>2025</v>
      </c>
      <c r="E2" s="33">
        <v>2024</v>
      </c>
    </row>
    <row r="3" spans="1:5" x14ac:dyDescent="0.35">
      <c r="A3" s="24" t="s">
        <v>10</v>
      </c>
      <c r="B3" s="59">
        <f>'Données financières brutes'!J3/'Données financières brutes'!H3</f>
        <v>0.12248374109631467</v>
      </c>
      <c r="C3" s="59">
        <f>'Données financières brutes'!K3/'Données financières brutes'!I3</f>
        <v>0.16177093033099127</v>
      </c>
      <c r="D3" s="1">
        <f>B3-B$21</f>
        <v>7.8693540134522344E-4</v>
      </c>
      <c r="E3" s="1">
        <f>C3-C$21</f>
        <v>2.9970397168160023E-2</v>
      </c>
    </row>
    <row r="4" spans="1:5" x14ac:dyDescent="0.35">
      <c r="A4" s="25" t="s">
        <v>30</v>
      </c>
      <c r="B4" s="60">
        <f>'Données financières brutes'!J4/'Données financières brutes'!H4</f>
        <v>6.8226894089646967E-2</v>
      </c>
      <c r="C4" s="60">
        <f>'Données financières brutes'!K4/'Données financières brutes'!I4</f>
        <v>0.14105642256902762</v>
      </c>
      <c r="D4" s="1">
        <f t="shared" ref="D4:D20" si="0">B4-B$21</f>
        <v>-5.3469911605322482E-2</v>
      </c>
      <c r="E4" s="1">
        <f t="shared" ref="E4:E20" si="1">C4-C$21</f>
        <v>9.2558894061963715E-3</v>
      </c>
    </row>
    <row r="5" spans="1:5" x14ac:dyDescent="0.35">
      <c r="A5" s="26" t="s">
        <v>33</v>
      </c>
      <c r="B5" s="60">
        <f>'Données financières brutes'!J5/'Données financières brutes'!H5</f>
        <v>6.1343835779926005E-2</v>
      </c>
      <c r="C5" s="60">
        <f>'Données financières brutes'!K5/'Données financières brutes'!I5</f>
        <v>6.2592702462177394E-2</v>
      </c>
      <c r="D5" s="1">
        <f t="shared" si="0"/>
        <v>-6.0352969915043443E-2</v>
      </c>
      <c r="E5" s="1">
        <f t="shared" si="1"/>
        <v>-6.9207830700653852E-2</v>
      </c>
    </row>
    <row r="6" spans="1:5" x14ac:dyDescent="0.35">
      <c r="A6" s="27" t="s">
        <v>64</v>
      </c>
      <c r="B6" s="61">
        <f>'Données financières brutes'!J6/'Données financières brutes'!H6</f>
        <v>0.22217674418604652</v>
      </c>
      <c r="C6" s="61">
        <f>'Données financières brutes'!K6/'Données financières brutes'!I6</f>
        <v>0.26704545454545453</v>
      </c>
      <c r="D6" s="34">
        <f t="shared" si="0"/>
        <v>0.10047993849107707</v>
      </c>
      <c r="E6" s="34">
        <f t="shared" si="1"/>
        <v>0.13524492138262328</v>
      </c>
    </row>
    <row r="7" spans="1:5" x14ac:dyDescent="0.35">
      <c r="A7" s="24" t="s">
        <v>184</v>
      </c>
      <c r="B7" s="60">
        <f>'Données financières brutes'!J7/'Données financières brutes'!H7</f>
        <v>3.2551551306148022E-2</v>
      </c>
      <c r="C7" s="60">
        <f>'Données financières brutes'!K7/'Données financières brutes'!I7</f>
        <v>0.17069851829452676</v>
      </c>
      <c r="D7" s="1">
        <f t="shared" si="0"/>
        <v>-8.9145254388821427E-2</v>
      </c>
      <c r="E7" s="1">
        <f t="shared" si="1"/>
        <v>3.8897985131695512E-2</v>
      </c>
    </row>
    <row r="8" spans="1:5" x14ac:dyDescent="0.35">
      <c r="A8" s="24" t="s">
        <v>11</v>
      </c>
      <c r="B8" s="62">
        <f>'Données financières brutes'!J8/'Données financières brutes'!H8</f>
        <v>7.0867446716828528E-2</v>
      </c>
      <c r="C8" s="62">
        <f>'Données financières brutes'!K8/'Données financières brutes'!I8</f>
        <v>6.7700705631740105E-2</v>
      </c>
      <c r="D8" s="35">
        <f t="shared" si="0"/>
        <v>-5.0829358978140921E-2</v>
      </c>
      <c r="E8" s="35">
        <f t="shared" si="1"/>
        <v>-6.4099827531091141E-2</v>
      </c>
    </row>
    <row r="9" spans="1:5" x14ac:dyDescent="0.35">
      <c r="A9" s="27" t="s">
        <v>12</v>
      </c>
      <c r="B9" s="60">
        <f>'Données financières brutes'!J9/'Données financières brutes'!H9</f>
        <v>0.17313167259786477</v>
      </c>
      <c r="C9" s="60">
        <f>'Données financières brutes'!K9/'Données financières brutes'!I9</f>
        <v>0.21657115568290355</v>
      </c>
      <c r="D9" s="1">
        <f t="shared" si="0"/>
        <v>5.1434866902895324E-2</v>
      </c>
      <c r="E9" s="1">
        <f t="shared" si="1"/>
        <v>8.4770622520072308E-2</v>
      </c>
    </row>
    <row r="10" spans="1:5" x14ac:dyDescent="0.35">
      <c r="A10" s="27" t="s">
        <v>13</v>
      </c>
      <c r="B10" s="60">
        <f>'Données financières brutes'!J10/'Données financières brutes'!H10</f>
        <v>0.19019230769230769</v>
      </c>
      <c r="C10" s="60">
        <f>'Données financières brutes'!K10/'Données financières brutes'!I10</f>
        <v>0.30860033726812819</v>
      </c>
      <c r="D10" s="1">
        <f t="shared" si="0"/>
        <v>6.849550199733824E-2</v>
      </c>
      <c r="E10" s="1">
        <f t="shared" si="1"/>
        <v>0.17679980410529694</v>
      </c>
    </row>
    <row r="11" spans="1:5" x14ac:dyDescent="0.35">
      <c r="A11" s="27" t="s">
        <v>185</v>
      </c>
      <c r="B11" s="60">
        <f>'Données financières brutes'!J11/'Données financières brutes'!H11</f>
        <v>0.17767732962447846</v>
      </c>
      <c r="C11" s="60">
        <f>'Données financières brutes'!K11/'Données financières brutes'!I11</f>
        <v>0.140625</v>
      </c>
      <c r="D11" s="1">
        <f t="shared" si="0"/>
        <v>5.5980523929509016E-2</v>
      </c>
      <c r="E11" s="1">
        <f t="shared" si="1"/>
        <v>8.824466837168754E-3</v>
      </c>
    </row>
    <row r="12" spans="1:5" x14ac:dyDescent="0.35">
      <c r="A12" s="27" t="s">
        <v>14</v>
      </c>
      <c r="B12" s="60">
        <f>'Données financières brutes'!J12/'Données financières brutes'!H12</f>
        <v>8.428617513172515E-2</v>
      </c>
      <c r="C12" s="60">
        <f>'Données financières brutes'!K12/'Données financières brutes'!I12</f>
        <v>6.6536466098157318E-2</v>
      </c>
      <c r="D12" s="1">
        <f t="shared" si="0"/>
        <v>-3.7410630563244299E-2</v>
      </c>
      <c r="E12" s="1">
        <f t="shared" si="1"/>
        <v>-6.5264067064673928E-2</v>
      </c>
    </row>
    <row r="13" spans="1:5" x14ac:dyDescent="0.35">
      <c r="A13" s="27" t="s">
        <v>15</v>
      </c>
      <c r="B13" s="60">
        <f>'Données financières brutes'!J13/'Données financières brutes'!H13</f>
        <v>0.38933680104031204</v>
      </c>
      <c r="C13" s="60">
        <f>'Données financières brutes'!K13/'Données financières brutes'!I13</f>
        <v>0.42528025421484678</v>
      </c>
      <c r="D13" s="1">
        <f t="shared" si="0"/>
        <v>0.26763999534534261</v>
      </c>
      <c r="E13" s="1">
        <f t="shared" si="1"/>
        <v>0.29347972105201553</v>
      </c>
    </row>
    <row r="14" spans="1:5" x14ac:dyDescent="0.35">
      <c r="A14" s="27" t="s">
        <v>31</v>
      </c>
      <c r="B14" s="60">
        <f>'Données financières brutes'!J14/'Données financières brutes'!H14</f>
        <v>0.15689001264222505</v>
      </c>
      <c r="C14" s="60">
        <f>'Données financières brutes'!K14/'Données financières brutes'!I14</f>
        <v>0.1456626349330212</v>
      </c>
      <c r="D14" s="1">
        <f t="shared" si="0"/>
        <v>3.5193206947255598E-2</v>
      </c>
      <c r="E14" s="1">
        <f t="shared" si="1"/>
        <v>1.3862101770189955E-2</v>
      </c>
    </row>
    <row r="15" spans="1:5" x14ac:dyDescent="0.35">
      <c r="A15" s="27" t="s">
        <v>16</v>
      </c>
      <c r="B15" s="60">
        <f>'Données financières brutes'!J15/'Données financières brutes'!H15</f>
        <v>0.23511121741210236</v>
      </c>
      <c r="C15" s="60">
        <f>'Données financières brutes'!K15/'Données financières brutes'!I15</f>
        <v>0.35389360061680808</v>
      </c>
      <c r="D15" s="1">
        <f t="shared" si="0"/>
        <v>0.11341441171713292</v>
      </c>
      <c r="E15" s="1">
        <f t="shared" si="1"/>
        <v>0.22209306745397683</v>
      </c>
    </row>
    <row r="16" spans="1:5" x14ac:dyDescent="0.35">
      <c r="A16" s="27" t="s">
        <v>17</v>
      </c>
      <c r="B16" s="62">
        <f>'Données financières brutes'!J16/'Données financières brutes'!H16</f>
        <v>0.20416325192591378</v>
      </c>
      <c r="C16" s="62">
        <f>'Données financières brutes'!K16/'Données financières brutes'!I16</f>
        <v>0.1694122364420089</v>
      </c>
      <c r="D16" s="35">
        <f t="shared" si="0"/>
        <v>8.2466446230944332E-2</v>
      </c>
      <c r="E16" s="35">
        <f t="shared" si="1"/>
        <v>3.761170327917765E-2</v>
      </c>
    </row>
    <row r="17" spans="1:5" x14ac:dyDescent="0.35">
      <c r="A17" s="27" t="s">
        <v>139</v>
      </c>
      <c r="B17" s="60">
        <f>'Données financières brutes'!J17/'Données financières brutes'!H17</f>
        <v>0.1282291324039167</v>
      </c>
      <c r="C17" s="60">
        <f>'Données financières brutes'!K17/'Données financières brutes'!I17</f>
        <v>0.13344331325136488</v>
      </c>
      <c r="D17" s="1">
        <f t="shared" si="0"/>
        <v>6.5323267089472531E-3</v>
      </c>
      <c r="E17" s="1">
        <f t="shared" si="1"/>
        <v>1.6427800885336352E-3</v>
      </c>
    </row>
    <row r="18" spans="1:5" x14ac:dyDescent="0.35">
      <c r="A18" s="27" t="s">
        <v>19</v>
      </c>
      <c r="B18" s="60">
        <f>'Données financières brutes'!J18/'Données financières brutes'!H18</f>
        <v>9.1595783112745896E-2</v>
      </c>
      <c r="C18" s="60">
        <f>'Données financières brutes'!K18/'Données financières brutes'!I18</f>
        <v>9.0836732663416575E-2</v>
      </c>
      <c r="D18" s="1">
        <f t="shared" si="0"/>
        <v>-3.0101022582223552E-2</v>
      </c>
      <c r="E18" s="1">
        <f t="shared" si="1"/>
        <v>-4.0963800499414671E-2</v>
      </c>
    </row>
    <row r="19" spans="1:5" x14ac:dyDescent="0.35">
      <c r="A19" s="27" t="s">
        <v>32</v>
      </c>
      <c r="B19" s="60">
        <f>'Données financières brutes'!J19/'Données financières brutes'!H19</f>
        <v>0.17408330366678532</v>
      </c>
      <c r="C19" s="60">
        <f>'Données financières brutes'!K19/'Données financières brutes'!I19</f>
        <v>0.16260451876890233</v>
      </c>
      <c r="D19" s="1">
        <f t="shared" si="0"/>
        <v>5.2386497971815868E-2</v>
      </c>
      <c r="E19" s="1">
        <f t="shared" si="1"/>
        <v>3.0803985606071088E-2</v>
      </c>
    </row>
    <row r="20" spans="1:5" x14ac:dyDescent="0.35">
      <c r="A20" s="27" t="s">
        <v>18</v>
      </c>
      <c r="B20" s="60">
        <f>'Données financières brutes'!J20/'Données financières brutes'!H20</f>
        <v>7.8713884886630781E-2</v>
      </c>
      <c r="C20" s="60">
        <f>'Données financières brutes'!K20/'Données financières brutes'!I20</f>
        <v>9.119294701074479E-2</v>
      </c>
      <c r="D20" s="1">
        <f t="shared" si="0"/>
        <v>-4.2982920808338668E-2</v>
      </c>
      <c r="E20" s="1">
        <f t="shared" si="1"/>
        <v>-4.0607586152086456E-2</v>
      </c>
    </row>
    <row r="21" spans="1:5" ht="15.5" x14ac:dyDescent="0.35">
      <c r="A21" s="38" t="s">
        <v>23</v>
      </c>
      <c r="B21" s="63">
        <f>'Données financières brutes'!J21/'Données financières brutes'!H21</f>
        <v>0.12169680569496945</v>
      </c>
      <c r="C21" s="63">
        <f>'Données financières brutes'!K21/'Données financières brutes'!I21</f>
        <v>0.13180053316283125</v>
      </c>
      <c r="D21" s="1"/>
      <c r="E21" s="1"/>
    </row>
  </sheetData>
  <mergeCells count="3">
    <mergeCell ref="A1:A2"/>
    <mergeCell ref="B1:C1"/>
    <mergeCell ref="D1:E1"/>
  </mergeCells>
  <conditionalFormatting sqref="D3:E20">
    <cfRule type="cellIs" dxfId="7" priority="1" operator="greaterThan">
      <formula>0</formula>
    </cfRule>
  </conditionalFormatting>
  <conditionalFormatting sqref="D3:E21">
    <cfRule type="cellIs" dxfId="6" priority="2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topLeftCell="A9" workbookViewId="0">
      <selection activeCell="H18" sqref="H18"/>
    </sheetView>
  </sheetViews>
  <sheetFormatPr defaultColWidth="10.90625" defaultRowHeight="14.5" x14ac:dyDescent="0.35"/>
  <cols>
    <col min="1" max="1" width="15.81640625" bestFit="1" customWidth="1"/>
  </cols>
  <sheetData>
    <row r="1" spans="1:5" x14ac:dyDescent="0.35">
      <c r="A1" s="76" t="s">
        <v>0</v>
      </c>
      <c r="B1" s="74" t="s">
        <v>26</v>
      </c>
      <c r="C1" s="82"/>
      <c r="D1" s="74" t="s">
        <v>22</v>
      </c>
      <c r="E1" s="75"/>
    </row>
    <row r="2" spans="1:5" x14ac:dyDescent="0.35">
      <c r="A2" s="77"/>
      <c r="B2" s="33">
        <v>2025</v>
      </c>
      <c r="C2" s="33">
        <v>2024</v>
      </c>
      <c r="D2" s="33">
        <v>2025</v>
      </c>
      <c r="E2" s="33">
        <v>2024</v>
      </c>
    </row>
    <row r="3" spans="1:5" x14ac:dyDescent="0.35">
      <c r="A3" s="24" t="s">
        <v>10</v>
      </c>
      <c r="B3" s="59">
        <f>'Données financières brutes'!N3/'Données financières brutes'!D3</f>
        <v>0.64860991688162795</v>
      </c>
      <c r="C3" s="59">
        <f>'Données financières brutes'!O3/'Données financières brutes'!E3</f>
        <v>0.84143426294820733</v>
      </c>
      <c r="D3" s="1">
        <f>B3-B$21</f>
        <v>-0.23969964822049628</v>
      </c>
      <c r="E3" s="1">
        <f>C3-C$21</f>
        <v>3.9068044088994225E-2</v>
      </c>
    </row>
    <row r="4" spans="1:5" x14ac:dyDescent="0.35">
      <c r="A4" s="25" t="s">
        <v>30</v>
      </c>
      <c r="B4" s="60">
        <f>'Données financières brutes'!N4/'Données financières brutes'!D4</f>
        <v>0.88750239969283939</v>
      </c>
      <c r="C4" s="60">
        <f>'Données financières brutes'!O4/'Données financières brutes'!E4</f>
        <v>0.99603174603174605</v>
      </c>
      <c r="D4" s="1">
        <f t="shared" ref="D4:D20" si="0">B4-B$21</f>
        <v>-8.0716540928482683E-4</v>
      </c>
      <c r="E4" s="1">
        <f t="shared" ref="E4:E20" si="1">C4-C$21</f>
        <v>0.19366552717253294</v>
      </c>
    </row>
    <row r="5" spans="1:5" x14ac:dyDescent="0.35">
      <c r="A5" s="26" t="s">
        <v>33</v>
      </c>
      <c r="B5" s="60">
        <f>'Données financières brutes'!N5/'Données financières brutes'!D5</f>
        <v>1.5779889152810771</v>
      </c>
      <c r="C5" s="60">
        <f>'Données financières brutes'!O5/'Données financières brutes'!E5</f>
        <v>1.0081163341224213</v>
      </c>
      <c r="D5" s="1">
        <f t="shared" si="0"/>
        <v>0.68967935017895288</v>
      </c>
      <c r="E5" s="1">
        <f t="shared" si="1"/>
        <v>0.20575011526320819</v>
      </c>
    </row>
    <row r="6" spans="1:5" x14ac:dyDescent="0.35">
      <c r="A6" s="27" t="s">
        <v>64</v>
      </c>
      <c r="B6" s="61">
        <f>'Données financières brutes'!N6/'Données financières brutes'!D6</f>
        <v>1.1936193619361937</v>
      </c>
      <c r="C6" s="61">
        <f>'Données financières brutes'!O6/'Données financières brutes'!E6</f>
        <v>0.59640945969273262</v>
      </c>
      <c r="D6" s="34">
        <f t="shared" si="0"/>
        <v>0.30530979683406945</v>
      </c>
      <c r="E6" s="34">
        <f t="shared" si="1"/>
        <v>-0.20595675916648049</v>
      </c>
    </row>
    <row r="7" spans="1:5" x14ac:dyDescent="0.35">
      <c r="A7" s="24" t="s">
        <v>184</v>
      </c>
      <c r="B7" s="60">
        <f>'Données financières brutes'!N7/'Données financières brutes'!D7</f>
        <v>1.2203921568627452</v>
      </c>
      <c r="C7" s="60">
        <f>'Données financières brutes'!O7/'Données financières brutes'!E7</f>
        <v>1.0175292153589317</v>
      </c>
      <c r="D7" s="1">
        <f t="shared" si="0"/>
        <v>0.33208259176062094</v>
      </c>
      <c r="E7" s="1">
        <f t="shared" si="1"/>
        <v>0.2151629964997186</v>
      </c>
    </row>
    <row r="8" spans="1:5" x14ac:dyDescent="0.35">
      <c r="A8" s="24" t="s">
        <v>11</v>
      </c>
      <c r="B8" s="62">
        <f>'Données financières brutes'!N8/'Données financières brutes'!D8</f>
        <v>0.95060881495455318</v>
      </c>
      <c r="C8" s="62">
        <f>'Données financières brutes'!O8/'Données financières brutes'!E8</f>
        <v>0.41286885245901639</v>
      </c>
      <c r="D8" s="35">
        <f t="shared" si="0"/>
        <v>6.2299249852428962E-2</v>
      </c>
      <c r="E8" s="35">
        <f t="shared" si="1"/>
        <v>-0.38949736640019672</v>
      </c>
    </row>
    <row r="9" spans="1:5" x14ac:dyDescent="0.35">
      <c r="A9" s="27" t="s">
        <v>12</v>
      </c>
      <c r="B9" s="60">
        <f>'Données financières brutes'!N9/'Données financières brutes'!D9</f>
        <v>0.58214285714285718</v>
      </c>
      <c r="C9" s="60">
        <f>'Données financières brutes'!O9/'Données financières brutes'!E9</f>
        <v>0.56442577030812335</v>
      </c>
      <c r="D9" s="1">
        <f t="shared" si="0"/>
        <v>-0.30616670795926704</v>
      </c>
      <c r="E9" s="1">
        <f t="shared" si="1"/>
        <v>-0.23794044855108976</v>
      </c>
    </row>
    <row r="10" spans="1:5" x14ac:dyDescent="0.35">
      <c r="A10" s="27" t="s">
        <v>13</v>
      </c>
      <c r="B10" s="60">
        <f>'Données financières brutes'!N10/'Données financières brutes'!D10</f>
        <v>1.1327800829875521</v>
      </c>
      <c r="C10" s="60">
        <f>'Données financières brutes'!O10/'Données financières brutes'!E10</f>
        <v>0.95227765726681124</v>
      </c>
      <c r="D10" s="1">
        <f t="shared" si="0"/>
        <v>0.24447051788542784</v>
      </c>
      <c r="E10" s="1">
        <f t="shared" si="1"/>
        <v>0.14991143840759813</v>
      </c>
    </row>
    <row r="11" spans="1:5" x14ac:dyDescent="0.35">
      <c r="A11" s="27" t="s">
        <v>185</v>
      </c>
      <c r="B11" s="60">
        <f>'Données financières brutes'!N11/'Données financières brutes'!D11</f>
        <v>3.8201634877384194</v>
      </c>
      <c r="C11" s="60">
        <f>'Données financières brutes'!O11/'Données financières brutes'!E11</f>
        <v>1.5865384615384617</v>
      </c>
      <c r="D11" s="1">
        <f t="shared" si="0"/>
        <v>2.9318539226362952</v>
      </c>
      <c r="E11" s="1">
        <f t="shared" si="1"/>
        <v>0.78417224267924857</v>
      </c>
    </row>
    <row r="12" spans="1:5" x14ac:dyDescent="0.35">
      <c r="A12" s="27" t="s">
        <v>14</v>
      </c>
      <c r="B12" s="60">
        <f>'Données financières brutes'!N12/'Données financières brutes'!D12</f>
        <v>0.67946458827516087</v>
      </c>
      <c r="C12" s="60">
        <f>'Données financières brutes'!O12/'Données financières brutes'!E12</f>
        <v>0.88104540654699048</v>
      </c>
      <c r="D12" s="1">
        <f t="shared" si="0"/>
        <v>-0.20884497682696335</v>
      </c>
      <c r="E12" s="1">
        <f t="shared" si="1"/>
        <v>7.8679187687777374E-2</v>
      </c>
    </row>
    <row r="13" spans="1:5" x14ac:dyDescent="0.35">
      <c r="A13" s="27" t="s">
        <v>15</v>
      </c>
      <c r="B13" s="60">
        <f>'Données financières brutes'!N13/'Données financières brutes'!D13</f>
        <v>0.91940730032526208</v>
      </c>
      <c r="C13" s="60">
        <f>'Données financières brutes'!O13/'Données financières brutes'!E13</f>
        <v>1.0871287128712872</v>
      </c>
      <c r="D13" s="1">
        <f t="shared" si="0"/>
        <v>3.1097735223137857E-2</v>
      </c>
      <c r="E13" s="1">
        <f t="shared" si="1"/>
        <v>0.2847624940120741</v>
      </c>
    </row>
    <row r="14" spans="1:5" x14ac:dyDescent="0.35">
      <c r="A14" s="27" t="s">
        <v>31</v>
      </c>
      <c r="B14" s="60">
        <f>'Données financières brutes'!N14/'Données financières brutes'!D14</f>
        <v>1.3248987854251011</v>
      </c>
      <c r="C14" s="60">
        <f>'Données financières brutes'!O14/'Données financières brutes'!E14</f>
        <v>1.3567787971457697</v>
      </c>
      <c r="D14" s="1">
        <f t="shared" si="0"/>
        <v>0.43658922032297687</v>
      </c>
      <c r="E14" s="1">
        <f t="shared" si="1"/>
        <v>0.55441257828655655</v>
      </c>
    </row>
    <row r="15" spans="1:5" x14ac:dyDescent="0.35">
      <c r="A15" s="27" t="s">
        <v>16</v>
      </c>
      <c r="B15" s="60">
        <f>'Données financières brutes'!N15/'Données financières brutes'!D15</f>
        <v>0.56074321105288227</v>
      </c>
      <c r="C15" s="60">
        <f>'Données financières brutes'!O15/'Données financières brutes'!E15</f>
        <v>0.75840978593272168</v>
      </c>
      <c r="D15" s="1">
        <f t="shared" si="0"/>
        <v>-0.32756635404924195</v>
      </c>
      <c r="E15" s="1">
        <f t="shared" si="1"/>
        <v>-4.3956432926491429E-2</v>
      </c>
    </row>
    <row r="16" spans="1:5" x14ac:dyDescent="0.35">
      <c r="A16" s="27" t="s">
        <v>17</v>
      </c>
      <c r="B16" s="62">
        <f>'Données financières brutes'!N16/'Données financières brutes'!D16</f>
        <v>1.2528608342561831</v>
      </c>
      <c r="C16" s="62">
        <f>'Données financières brutes'!O16/'Données financières brutes'!E16</f>
        <v>0.59727195225916452</v>
      </c>
      <c r="D16" s="35">
        <f t="shared" si="0"/>
        <v>0.36455126915405889</v>
      </c>
      <c r="E16" s="35">
        <f t="shared" si="1"/>
        <v>-0.20509426660004859</v>
      </c>
    </row>
    <row r="17" spans="1:5" x14ac:dyDescent="0.35">
      <c r="A17" s="27" t="s">
        <v>139</v>
      </c>
      <c r="B17" s="60">
        <f>'Données financières brutes'!N17/'Données financières brutes'!D17</f>
        <v>1.1888363823515649</v>
      </c>
      <c r="C17" s="60">
        <f>'Données financières brutes'!O17/'Données financières brutes'!E17</f>
        <v>1.092966360856269</v>
      </c>
      <c r="D17" s="1">
        <f t="shared" si="0"/>
        <v>0.30052681724944064</v>
      </c>
      <c r="E17" s="1">
        <f t="shared" si="1"/>
        <v>0.29060014199705586</v>
      </c>
    </row>
    <row r="18" spans="1:5" x14ac:dyDescent="0.35">
      <c r="A18" s="27" t="s">
        <v>19</v>
      </c>
      <c r="B18" s="60">
        <f>'Données financières brutes'!N18/'Données financières brutes'!D18</f>
        <v>0.49387755102040815</v>
      </c>
      <c r="C18" s="60">
        <f>'Données financières brutes'!O18/'Données financières brutes'!E18</f>
        <v>0.40711305384462543</v>
      </c>
      <c r="D18" s="1">
        <f t="shared" si="0"/>
        <v>-0.39443201408171608</v>
      </c>
      <c r="E18" s="1">
        <f t="shared" si="1"/>
        <v>-0.39525316501458768</v>
      </c>
    </row>
    <row r="19" spans="1:5" x14ac:dyDescent="0.35">
      <c r="A19" s="27" t="s">
        <v>32</v>
      </c>
      <c r="B19" s="60">
        <f>'Données financières brutes'!N19/'Données financières brutes'!D19</f>
        <v>0.80138768430182139</v>
      </c>
      <c r="C19" s="60">
        <f>'Données financières brutes'!O19/'Données financières brutes'!E19</f>
        <v>0.87019730010384211</v>
      </c>
      <c r="D19" s="1">
        <f t="shared" si="0"/>
        <v>-8.6921880800302831E-2</v>
      </c>
      <c r="E19" s="1">
        <f t="shared" si="1"/>
        <v>6.7831081244628999E-2</v>
      </c>
    </row>
    <row r="20" spans="1:5" x14ac:dyDescent="0.35">
      <c r="A20" s="27" t="s">
        <v>18</v>
      </c>
      <c r="B20" s="60">
        <f>'Données financières brutes'!N20/'Données financières brutes'!D20</f>
        <v>0.38983050847457623</v>
      </c>
      <c r="C20" s="60">
        <f>'Données financières brutes'!O20/'Données financières brutes'!E20</f>
        <v>0.73478539397821918</v>
      </c>
      <c r="D20" s="1">
        <f t="shared" si="0"/>
        <v>-0.49847905662754799</v>
      </c>
      <c r="E20" s="1">
        <f t="shared" si="1"/>
        <v>-6.7580824880993928E-2</v>
      </c>
    </row>
    <row r="21" spans="1:5" ht="15.5" x14ac:dyDescent="0.35">
      <c r="A21" s="38" t="s">
        <v>23</v>
      </c>
      <c r="B21" s="63">
        <f>'Données financières brutes'!N21/'Données financières brutes'!D21</f>
        <v>0.88830956510212422</v>
      </c>
      <c r="C21" s="63">
        <f>'Données financières brutes'!O21/'Données financières brutes'!E21</f>
        <v>0.80236621885921311</v>
      </c>
      <c r="D21" s="1"/>
      <c r="E21" s="1"/>
    </row>
  </sheetData>
  <mergeCells count="3">
    <mergeCell ref="A1:A2"/>
    <mergeCell ref="B1:C1"/>
    <mergeCell ref="D1:E1"/>
  </mergeCells>
  <conditionalFormatting sqref="D3:E21">
    <cfRule type="cellIs" dxfId="5" priority="1" operator="greaterThan">
      <formula>0</formula>
    </cfRule>
    <cfRule type="cellIs" dxfId="4" priority="2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topLeftCell="A6" workbookViewId="0">
      <selection activeCell="G8" sqref="G8"/>
    </sheetView>
  </sheetViews>
  <sheetFormatPr defaultColWidth="10.90625" defaultRowHeight="14.5" x14ac:dyDescent="0.35"/>
  <cols>
    <col min="1" max="1" width="15.81640625" bestFit="1" customWidth="1"/>
    <col min="2" max="2" width="14.7265625" customWidth="1"/>
    <col min="3" max="3" width="14.1796875" customWidth="1"/>
  </cols>
  <sheetData>
    <row r="1" spans="1:5" x14ac:dyDescent="0.35">
      <c r="A1" s="76" t="s">
        <v>0</v>
      </c>
      <c r="B1" s="74" t="s">
        <v>29</v>
      </c>
      <c r="C1" s="82"/>
      <c r="D1" s="74" t="s">
        <v>22</v>
      </c>
      <c r="E1" s="75"/>
    </row>
    <row r="2" spans="1:5" x14ac:dyDescent="0.35">
      <c r="A2" s="77"/>
      <c r="B2" s="33">
        <v>2025</v>
      </c>
      <c r="C2" s="33">
        <v>2024</v>
      </c>
      <c r="D2" s="33">
        <v>2025</v>
      </c>
      <c r="E2" s="33">
        <v>2024</v>
      </c>
    </row>
    <row r="3" spans="1:5" x14ac:dyDescent="0.35">
      <c r="A3" s="24" t="s">
        <v>10</v>
      </c>
      <c r="B3" s="59">
        <f>'Données financières brutes'!R3/'Données financières brutes'!D3</f>
        <v>8.3691602178274579E-2</v>
      </c>
      <c r="C3" s="59">
        <f>'Données financières brutes'!S3/'Données financières brutes'!E3</f>
        <v>0.10836653386454186</v>
      </c>
      <c r="D3" s="1">
        <f>B3-B$21</f>
        <v>-0.19588244755274486</v>
      </c>
      <c r="E3" s="1">
        <f>C3-C$21</f>
        <v>-0.12414065349852414</v>
      </c>
    </row>
    <row r="4" spans="1:5" x14ac:dyDescent="0.35">
      <c r="A4" s="25" t="s">
        <v>30</v>
      </c>
      <c r="B4" s="60">
        <f>'Données financières brutes'!R4/'Données financières brutes'!D4</f>
        <v>8.0245728546746026E-2</v>
      </c>
      <c r="C4" s="60">
        <f>'Données financières brutes'!S4/'Données financières brutes'!E4</f>
        <v>7.6140873015873009E-2</v>
      </c>
      <c r="D4" s="1">
        <f t="shared" ref="D4:D20" si="0">B4-B$21</f>
        <v>-0.19932832118427343</v>
      </c>
      <c r="E4" s="1">
        <f t="shared" ref="E4:E20" si="1">C4-C$21</f>
        <v>-0.156366314347193</v>
      </c>
    </row>
    <row r="5" spans="1:5" x14ac:dyDescent="0.35">
      <c r="A5" s="26" t="s">
        <v>33</v>
      </c>
      <c r="B5" s="60">
        <f>'Données financières brutes'!R5/'Données financières brutes'!D5</f>
        <v>0.42359461599366593</v>
      </c>
      <c r="C5" s="60">
        <f>'Données financières brutes'!S5/'Données financières brutes'!E5</f>
        <v>0.10043963476496449</v>
      </c>
      <c r="D5" s="1">
        <f t="shared" si="0"/>
        <v>0.14402056626264648</v>
      </c>
      <c r="E5" s="1">
        <f t="shared" si="1"/>
        <v>-0.13206755259810149</v>
      </c>
    </row>
    <row r="6" spans="1:5" x14ac:dyDescent="0.35">
      <c r="A6" s="27" t="s">
        <v>64</v>
      </c>
      <c r="B6" s="61">
        <f>'Données financières brutes'!R6/'Données financières brutes'!D6</f>
        <v>0.41840850751741843</v>
      </c>
      <c r="C6" s="61">
        <f>'Données financières brutes'!S6/'Données financières brutes'!E6</f>
        <v>8.9073019161056449E-2</v>
      </c>
      <c r="D6" s="34">
        <f t="shared" si="0"/>
        <v>0.13883445778639897</v>
      </c>
      <c r="E6" s="34">
        <f t="shared" si="1"/>
        <v>-0.14343416820200955</v>
      </c>
    </row>
    <row r="7" spans="1:5" x14ac:dyDescent="0.35">
      <c r="A7" s="24" t="s">
        <v>184</v>
      </c>
      <c r="B7" s="1" t="s">
        <v>20</v>
      </c>
      <c r="C7" s="1" t="s">
        <v>20</v>
      </c>
      <c r="D7" s="1" t="s">
        <v>20</v>
      </c>
      <c r="E7" s="1" t="s">
        <v>20</v>
      </c>
    </row>
    <row r="8" spans="1:5" x14ac:dyDescent="0.35">
      <c r="A8" s="24" t="s">
        <v>11</v>
      </c>
      <c r="B8" s="62">
        <f>'Données financières brutes'!R8/'Données financières brutes'!D8</f>
        <v>0.39410049734179387</v>
      </c>
      <c r="C8" s="62">
        <f>'Données financières brutes'!S8/'Données financières brutes'!E8</f>
        <v>0.14442622950819672</v>
      </c>
      <c r="D8" s="35">
        <f t="shared" si="0"/>
        <v>0.11452644761077441</v>
      </c>
      <c r="E8" s="35">
        <f t="shared" si="1"/>
        <v>-8.8080957854869274E-2</v>
      </c>
    </row>
    <row r="9" spans="1:5" x14ac:dyDescent="0.35">
      <c r="A9" s="27" t="s">
        <v>12</v>
      </c>
      <c r="B9" s="1" t="s">
        <v>20</v>
      </c>
      <c r="C9" s="1" t="s">
        <v>20</v>
      </c>
      <c r="D9" s="1" t="s">
        <v>20</v>
      </c>
      <c r="E9" s="1" t="s">
        <v>20</v>
      </c>
    </row>
    <row r="10" spans="1:5" x14ac:dyDescent="0.35">
      <c r="A10" s="27" t="s">
        <v>13</v>
      </c>
      <c r="B10" s="60">
        <f>'Données financières brutes'!R10/'Données financières brutes'!D10</f>
        <v>0.44398340248962659</v>
      </c>
      <c r="C10" s="60">
        <f>'Données financières brutes'!S10/'Données financières brutes'!E10</f>
        <v>0.33405639913232105</v>
      </c>
      <c r="D10" s="1">
        <f t="shared" si="0"/>
        <v>0.16440935275860713</v>
      </c>
      <c r="E10" s="1">
        <f t="shared" si="1"/>
        <v>0.10154921176925505</v>
      </c>
    </row>
    <row r="11" spans="1:5" x14ac:dyDescent="0.35">
      <c r="A11" s="27" t="s">
        <v>185</v>
      </c>
      <c r="B11" s="60">
        <f>'Données financières brutes'!R11/'Données financières brutes'!D11</f>
        <v>8.99182561307902E-2</v>
      </c>
      <c r="C11" s="60">
        <f>'Données financières brutes'!S11/'Données financières brutes'!E11</f>
        <v>0.53725961538461542</v>
      </c>
      <c r="D11" s="1">
        <f t="shared" si="0"/>
        <v>-0.18965579360022927</v>
      </c>
      <c r="E11" s="1">
        <f t="shared" si="1"/>
        <v>0.30475242802154945</v>
      </c>
    </row>
    <row r="12" spans="1:5" x14ac:dyDescent="0.35">
      <c r="A12" s="27" t="s">
        <v>14</v>
      </c>
      <c r="B12" s="60">
        <f>'Données financières brutes'!R12/'Données financières brutes'!D12</f>
        <v>3.5852253473398848E-2</v>
      </c>
      <c r="C12" s="60">
        <f>'Données financières brutes'!S12/'Données financières brutes'!E12</f>
        <v>9.4984160506863771E-2</v>
      </c>
      <c r="D12" s="1">
        <f t="shared" si="0"/>
        <v>-0.24372179625762061</v>
      </c>
      <c r="E12" s="1">
        <f t="shared" si="1"/>
        <v>-0.13752302685620221</v>
      </c>
    </row>
    <row r="13" spans="1:5" x14ac:dyDescent="0.35">
      <c r="A13" s="27" t="s">
        <v>15</v>
      </c>
      <c r="B13" s="60">
        <f>'Données financières brutes'!R13/'Données financières brutes'!D13</f>
        <v>0.10697506324539212</v>
      </c>
      <c r="C13" s="60">
        <f>'Données financières brutes'!S13/'Données financières brutes'!E13</f>
        <v>0.1</v>
      </c>
      <c r="D13" s="1">
        <f t="shared" si="0"/>
        <v>-0.17259898648562733</v>
      </c>
      <c r="E13" s="1">
        <f t="shared" si="1"/>
        <v>-0.13250718736306599</v>
      </c>
    </row>
    <row r="14" spans="1:5" x14ac:dyDescent="0.35">
      <c r="A14" s="27" t="s">
        <v>31</v>
      </c>
      <c r="B14" s="60">
        <f>'Données financières brutes'!R14/'Données financières brutes'!D14</f>
        <v>0.11336032388663968</v>
      </c>
      <c r="C14" s="60">
        <f>'Données financières brutes'!S14/'Données financières brutes'!E14</f>
        <v>0.53516819571865448</v>
      </c>
      <c r="D14" s="1">
        <f t="shared" si="0"/>
        <v>-0.16621372584437977</v>
      </c>
      <c r="E14" s="1">
        <f t="shared" si="1"/>
        <v>0.30266100835558851</v>
      </c>
    </row>
    <row r="15" spans="1:5" x14ac:dyDescent="0.35">
      <c r="A15" s="27" t="s">
        <v>16</v>
      </c>
      <c r="B15" s="60">
        <f>'Données financières brutes'!R15/'Données financières brutes'!D15</f>
        <v>7.3368270605050009E-2</v>
      </c>
      <c r="C15" s="60">
        <f>'Données financières brutes'!S15/'Données financières brutes'!E15</f>
        <v>7.7981651376146779E-2</v>
      </c>
      <c r="D15" s="1">
        <f t="shared" si="0"/>
        <v>-0.20620577912596944</v>
      </c>
      <c r="E15" s="1">
        <f t="shared" si="1"/>
        <v>-0.1545255359869192</v>
      </c>
    </row>
    <row r="16" spans="1:5" x14ac:dyDescent="0.35">
      <c r="A16" s="27" t="s">
        <v>17</v>
      </c>
      <c r="B16" s="62">
        <f>'Données financières brutes'!R16/'Données financières brutes'!D16</f>
        <v>0.39387227759320781</v>
      </c>
      <c r="C16" s="62">
        <f>'Données financières brutes'!S16/'Données financières brutes'!E16</f>
        <v>7.8687127024722928E-2</v>
      </c>
      <c r="D16" s="35">
        <f t="shared" si="0"/>
        <v>0.11429822786218835</v>
      </c>
      <c r="E16" s="35">
        <f t="shared" si="1"/>
        <v>-0.15382006033834306</v>
      </c>
    </row>
    <row r="17" spans="1:5" x14ac:dyDescent="0.35">
      <c r="A17" s="27" t="s">
        <v>139</v>
      </c>
      <c r="B17" s="60">
        <f>'Données financières brutes'!R17/'Données financières brutes'!D17</f>
        <v>0.53127778037711126</v>
      </c>
      <c r="C17" s="60">
        <f>'Données financières brutes'!S17/'Données financières brutes'!E17</f>
        <v>0.42528032619775735</v>
      </c>
      <c r="D17" s="1">
        <f t="shared" si="0"/>
        <v>0.25170373064609181</v>
      </c>
      <c r="E17" s="1">
        <f t="shared" si="1"/>
        <v>0.19277313883469135</v>
      </c>
    </row>
    <row r="18" spans="1:5" x14ac:dyDescent="0.35">
      <c r="A18" s="27" t="s">
        <v>19</v>
      </c>
      <c r="B18" s="60">
        <f>'Données financières brutes'!R18/'Données financières brutes'!D18</f>
        <v>1.2371643394199785</v>
      </c>
      <c r="C18" s="60">
        <f>'Données financières brutes'!S18/'Données financières brutes'!E18</f>
        <v>0.98132326644148615</v>
      </c>
      <c r="D18" s="1">
        <f t="shared" si="0"/>
        <v>0.95759028968895898</v>
      </c>
      <c r="E18" s="1">
        <f t="shared" si="1"/>
        <v>0.74881607907842018</v>
      </c>
    </row>
    <row r="19" spans="1:5" x14ac:dyDescent="0.35">
      <c r="A19" s="27" t="s">
        <v>32</v>
      </c>
      <c r="B19" s="60">
        <f>'Données financières brutes'!R19/'Données financières brutes'!D19</f>
        <v>0.1196877710320902</v>
      </c>
      <c r="C19" s="60">
        <f>'Données financières brutes'!S19/'Données financières brutes'!E19</f>
        <v>0.25960539979231567</v>
      </c>
      <c r="D19" s="1">
        <f t="shared" si="0"/>
        <v>-0.15988627869892924</v>
      </c>
      <c r="E19" s="1">
        <f t="shared" si="1"/>
        <v>2.7098212429249674E-2</v>
      </c>
    </row>
    <row r="20" spans="1:5" x14ac:dyDescent="0.35">
      <c r="A20" s="27" t="s">
        <v>18</v>
      </c>
      <c r="B20" s="60">
        <f>'Données financières brutes'!R20/'Données financières brutes'!D20</f>
        <v>0.14881355932203388</v>
      </c>
      <c r="C20" s="60">
        <f>'Données financières brutes'!S20/'Données financières brutes'!E20</f>
        <v>0.58680333119795003</v>
      </c>
      <c r="D20" s="1">
        <f t="shared" si="0"/>
        <v>-0.13076049040898557</v>
      </c>
      <c r="E20" s="1">
        <f t="shared" si="1"/>
        <v>0.35429614383488406</v>
      </c>
    </row>
    <row r="21" spans="1:5" ht="15.5" x14ac:dyDescent="0.35">
      <c r="A21" s="38" t="s">
        <v>23</v>
      </c>
      <c r="B21" s="63">
        <f>'Données financières brutes'!R21/'Données financières brutes'!D21</f>
        <v>0.27957404973101946</v>
      </c>
      <c r="C21" s="63">
        <f>'Données financières brutes'!S21/'Données financières brutes'!E21</f>
        <v>0.232507187363066</v>
      </c>
      <c r="D21" s="1"/>
      <c r="E21" s="1"/>
    </row>
  </sheetData>
  <mergeCells count="3">
    <mergeCell ref="A1:A2"/>
    <mergeCell ref="B1:C1"/>
    <mergeCell ref="D1:E1"/>
  </mergeCells>
  <conditionalFormatting sqref="D3:E20">
    <cfRule type="cellIs" dxfId="3" priority="1" operator="greaterThan">
      <formula>0</formula>
    </cfRule>
  </conditionalFormatting>
  <conditionalFormatting sqref="D3:E21">
    <cfRule type="cellIs" dxfId="2" priority="2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87CC2-AB31-411D-9836-356D7E4C551B}">
  <dimension ref="A1:E21"/>
  <sheetViews>
    <sheetView topLeftCell="A7" workbookViewId="0">
      <selection activeCell="F17" sqref="F17"/>
    </sheetView>
  </sheetViews>
  <sheetFormatPr defaultRowHeight="14.5" x14ac:dyDescent="0.35"/>
  <cols>
    <col min="1" max="1" width="15.54296875" bestFit="1" customWidth="1"/>
    <col min="2" max="2" width="17.90625" customWidth="1"/>
    <col min="3" max="3" width="17.453125" customWidth="1"/>
    <col min="4" max="4" width="14.7265625" customWidth="1"/>
    <col min="5" max="5" width="14.08984375" customWidth="1"/>
  </cols>
  <sheetData>
    <row r="1" spans="1:5" x14ac:dyDescent="0.35">
      <c r="A1" s="76" t="s">
        <v>0</v>
      </c>
      <c r="B1" s="74" t="s">
        <v>29</v>
      </c>
      <c r="C1" s="82"/>
      <c r="D1" s="74" t="s">
        <v>22</v>
      </c>
      <c r="E1" s="75"/>
    </row>
    <row r="2" spans="1:5" x14ac:dyDescent="0.35">
      <c r="A2" s="77"/>
      <c r="B2" s="33">
        <v>2025</v>
      </c>
      <c r="C2" s="33">
        <v>2024</v>
      </c>
      <c r="D2" s="33">
        <v>2025</v>
      </c>
      <c r="E2" s="33">
        <v>2024</v>
      </c>
    </row>
    <row r="3" spans="1:5" x14ac:dyDescent="0.35">
      <c r="A3" s="24" t="s">
        <v>10</v>
      </c>
      <c r="B3" s="59">
        <f>'Données financières brutes'!R3/'Données financières brutes'!F3</f>
        <v>0.23548387096774193</v>
      </c>
      <c r="C3" s="59">
        <f>'Données financières brutes'!S3/'Données financières brutes'!G3</f>
        <v>0.48571428571428571</v>
      </c>
      <c r="D3" s="1">
        <f>B3-B$21</f>
        <v>-0.86438141085399567</v>
      </c>
      <c r="E3" s="1">
        <f>C3-C$21</f>
        <v>-0.23002843512795806</v>
      </c>
    </row>
    <row r="4" spans="1:5" x14ac:dyDescent="0.35">
      <c r="A4" s="25" t="s">
        <v>30</v>
      </c>
      <c r="B4" s="60">
        <f>'Données financières brutes'!R4/'Données financières brutes'!F4</f>
        <v>0.47554038680318539</v>
      </c>
      <c r="C4" s="60">
        <f>'Données financières brutes'!S4/'Données financières brutes'!G4</f>
        <v>0.70737327188940091</v>
      </c>
      <c r="D4" s="1">
        <f t="shared" ref="D4:E20" si="0">B4-B$21</f>
        <v>-0.62432489501855226</v>
      </c>
      <c r="E4" s="1">
        <f t="shared" si="0"/>
        <v>-8.3694489528428617E-3</v>
      </c>
    </row>
    <row r="5" spans="1:5" x14ac:dyDescent="0.35">
      <c r="A5" s="26" t="s">
        <v>33</v>
      </c>
      <c r="B5" s="60">
        <f>'Données financières brutes'!R5/'Données financières brutes'!F5</f>
        <v>-3.0225988700564974</v>
      </c>
      <c r="C5" s="60">
        <f>'Données financières brutes'!S5/'Données financières brutes'!G5</f>
        <v>0.92812499999999998</v>
      </c>
      <c r="D5" s="1">
        <f t="shared" si="0"/>
        <v>-4.1224641518782352</v>
      </c>
      <c r="E5" s="1">
        <f t="shared" si="0"/>
        <v>0.2123822791577562</v>
      </c>
    </row>
    <row r="6" spans="1:5" x14ac:dyDescent="0.35">
      <c r="A6" s="27" t="s">
        <v>64</v>
      </c>
      <c r="B6" s="61">
        <f>'Données financières brutes'!R6/'Données financières brutes'!F6</f>
        <v>2.1090573012939</v>
      </c>
      <c r="C6" s="61">
        <f>'Données financières brutes'!S6/'Données financières brutes'!G6</f>
        <v>0.2283185840707965</v>
      </c>
      <c r="D6" s="34">
        <f t="shared" si="0"/>
        <v>1.0091920194721624</v>
      </c>
      <c r="E6" s="34">
        <f t="shared" si="0"/>
        <v>-0.48742413677144725</v>
      </c>
    </row>
    <row r="7" spans="1:5" x14ac:dyDescent="0.35">
      <c r="A7" s="24" t="s">
        <v>184</v>
      </c>
      <c r="B7" s="1" t="s">
        <v>20</v>
      </c>
      <c r="C7" s="1" t="s">
        <v>20</v>
      </c>
      <c r="D7" s="1" t="s">
        <v>20</v>
      </c>
      <c r="E7" s="1" t="s">
        <v>20</v>
      </c>
    </row>
    <row r="8" spans="1:5" x14ac:dyDescent="0.35">
      <c r="A8" s="24" t="s">
        <v>11</v>
      </c>
      <c r="B8" s="62">
        <f>'Données financières brutes'!R8/'Données financières brutes'!F8</f>
        <v>1.1085383502170767</v>
      </c>
      <c r="C8" s="62">
        <f>'Données financières brutes'!S8/'Données financières brutes'!G8</f>
        <v>0.25621637341864184</v>
      </c>
      <c r="D8" s="35">
        <f t="shared" si="0"/>
        <v>8.6730683953391008E-3</v>
      </c>
      <c r="E8" s="35">
        <f t="shared" si="0"/>
        <v>-0.45952634742360193</v>
      </c>
    </row>
    <row r="9" spans="1:5" x14ac:dyDescent="0.35">
      <c r="A9" s="27" t="s">
        <v>12</v>
      </c>
      <c r="B9" s="1" t="s">
        <v>20</v>
      </c>
      <c r="C9" s="1" t="s">
        <v>20</v>
      </c>
      <c r="D9" s="1" t="s">
        <v>20</v>
      </c>
      <c r="E9" s="1" t="s">
        <v>20</v>
      </c>
    </row>
    <row r="10" spans="1:5" x14ac:dyDescent="0.35">
      <c r="A10" s="27" t="s">
        <v>13</v>
      </c>
      <c r="B10" s="60">
        <f>'Données financières brutes'!R10/'Données financières brutes'!F10</f>
        <v>2.4883720930232558</v>
      </c>
      <c r="C10" s="60">
        <f>'Données financières brutes'!S10/'Données financières brutes'!G10</f>
        <v>1.1159420289855071</v>
      </c>
      <c r="D10" s="1">
        <f t="shared" si="0"/>
        <v>1.3885068112015182</v>
      </c>
      <c r="E10" s="1">
        <f t="shared" si="0"/>
        <v>0.40019930814326332</v>
      </c>
    </row>
    <row r="11" spans="1:5" x14ac:dyDescent="0.35">
      <c r="A11" s="27" t="s">
        <v>185</v>
      </c>
      <c r="B11" s="60">
        <f>'Données financières brutes'!R11/'Données financières brutes'!F11</f>
        <v>-3.3985581874356338E-2</v>
      </c>
      <c r="C11" s="60">
        <f>'Données financières brutes'!S11/'Données financières brutes'!G11</f>
        <v>-15.413793103448276</v>
      </c>
      <c r="D11" s="1">
        <f t="shared" si="0"/>
        <v>-1.133850863696094</v>
      </c>
      <c r="E11" s="1">
        <f t="shared" si="0"/>
        <v>-16.129535824290521</v>
      </c>
    </row>
    <row r="12" spans="1:5" x14ac:dyDescent="0.35">
      <c r="A12" s="27" t="s">
        <v>14</v>
      </c>
      <c r="B12" s="60">
        <f>'Données financières brutes'!R12/'Données financières brutes'!F12</f>
        <v>0.14964639321074966</v>
      </c>
      <c r="C12" s="60">
        <f>'Données financières brutes'!S12/'Données financières brutes'!G12</f>
        <v>0.69432651485912766</v>
      </c>
      <c r="D12" s="1">
        <f t="shared" si="0"/>
        <v>-0.95021888861098791</v>
      </c>
      <c r="E12" s="1">
        <f t="shared" si="0"/>
        <v>-2.141620598311611E-2</v>
      </c>
    </row>
    <row r="13" spans="1:5" x14ac:dyDescent="0.35">
      <c r="A13" s="27" t="s">
        <v>15</v>
      </c>
      <c r="B13" s="60">
        <f>'Données financières brutes'!R13/'Données financières brutes'!F13</f>
        <v>1.4299516908212559</v>
      </c>
      <c r="C13" s="60">
        <f>'Données financières brutes'!S13/'Données financières brutes'!G13</f>
        <v>-0.75373134328358204</v>
      </c>
      <c r="D13" s="1">
        <f t="shared" si="0"/>
        <v>0.33008640899951835</v>
      </c>
      <c r="E13" s="1">
        <f t="shared" si="0"/>
        <v>-1.4694740641258259</v>
      </c>
    </row>
    <row r="14" spans="1:5" x14ac:dyDescent="0.35">
      <c r="A14" s="27" t="s">
        <v>31</v>
      </c>
      <c r="B14" s="60">
        <f>'Données financières brutes'!R14/'Données financières brutes'!F14</f>
        <v>-0.63276836158192096</v>
      </c>
      <c r="C14" s="60">
        <f>'Données financières brutes'!S14/'Données financières brutes'!G14</f>
        <v>2.4881516587677726</v>
      </c>
      <c r="D14" s="1">
        <f t="shared" si="0"/>
        <v>-1.7326336434036587</v>
      </c>
      <c r="E14" s="1">
        <f t="shared" si="0"/>
        <v>1.7724089379255288</v>
      </c>
    </row>
    <row r="15" spans="1:5" x14ac:dyDescent="0.35">
      <c r="A15" s="27" t="s">
        <v>16</v>
      </c>
      <c r="B15" s="60">
        <f>'Données financières brutes'!R15/'Données financières brutes'!F15</f>
        <v>0.18075117370892019</v>
      </c>
      <c r="C15" s="60">
        <f>'Données financières brutes'!S15/'Données financières brutes'!G15</f>
        <v>0.29394812680115273</v>
      </c>
      <c r="D15" s="1">
        <f t="shared" si="0"/>
        <v>-0.91911410811281735</v>
      </c>
      <c r="E15" s="1">
        <f t="shared" si="0"/>
        <v>-0.42179459404109104</v>
      </c>
    </row>
    <row r="16" spans="1:5" x14ac:dyDescent="0.35">
      <c r="A16" s="27" t="s">
        <v>17</v>
      </c>
      <c r="B16" s="62">
        <f>'Données financières brutes'!R16/'Données financières brutes'!F16</f>
        <v>4.0416666666666661</v>
      </c>
      <c r="C16" s="62">
        <f>'Données financières brutes'!S16/'Données financières brutes'!G16</f>
        <v>0.21321321321321324</v>
      </c>
      <c r="D16" s="35">
        <f t="shared" si="0"/>
        <v>2.9418013848449283</v>
      </c>
      <c r="E16" s="35">
        <f t="shared" si="0"/>
        <v>-0.50252950762903059</v>
      </c>
    </row>
    <row r="17" spans="1:5" x14ac:dyDescent="0.35">
      <c r="A17" s="27" t="s">
        <v>139</v>
      </c>
      <c r="B17" s="60">
        <f>'Données financières brutes'!R17/'Données financières brutes'!F17</f>
        <v>2.8907841140529533</v>
      </c>
      <c r="C17" s="60">
        <f>'Données financières brutes'!S17/'Données financières brutes'!G17</f>
        <v>1.5587521016252568</v>
      </c>
      <c r="D17" s="1">
        <f t="shared" si="0"/>
        <v>1.7909188322312157</v>
      </c>
      <c r="E17" s="1">
        <f t="shared" si="0"/>
        <v>0.84300938078301302</v>
      </c>
    </row>
    <row r="18" spans="1:5" x14ac:dyDescent="0.35">
      <c r="A18" s="27" t="s">
        <v>19</v>
      </c>
      <c r="B18" s="60">
        <f>'Données financières brutes'!R18/'Données financières brutes'!F18</f>
        <v>1.1901219260177722</v>
      </c>
      <c r="C18" s="60">
        <f>'Données financières brutes'!S18/'Données financières brutes'!G18</f>
        <v>0.98641901338126625</v>
      </c>
      <c r="D18" s="1">
        <f t="shared" si="0"/>
        <v>9.025664419603463E-2</v>
      </c>
      <c r="E18" s="1">
        <f t="shared" si="0"/>
        <v>0.27067629253902248</v>
      </c>
    </row>
    <row r="19" spans="1:5" x14ac:dyDescent="0.35">
      <c r="A19" s="27" t="s">
        <v>32</v>
      </c>
      <c r="B19" s="60">
        <f>'Données financières brutes'!R19/'Données financières brutes'!F19</f>
        <v>0.45394736842105265</v>
      </c>
      <c r="C19" s="60">
        <f>'Données financières brutes'!S19/'Données financières brutes'!G19</f>
        <v>0.73964497041420119</v>
      </c>
      <c r="D19" s="1">
        <f t="shared" si="0"/>
        <v>-0.64591791340068494</v>
      </c>
      <c r="E19" s="1">
        <f t="shared" si="0"/>
        <v>2.3902249571957412E-2</v>
      </c>
    </row>
    <row r="20" spans="1:5" x14ac:dyDescent="0.35">
      <c r="A20" s="27" t="s">
        <v>18</v>
      </c>
      <c r="B20" s="60">
        <f>'Données financières brutes'!R20/'Données financières brutes'!F20</f>
        <v>0.23301486199575372</v>
      </c>
      <c r="C20" s="60">
        <f>'Données financières brutes'!S20/'Données financières brutes'!G20</f>
        <v>0.75765095119933823</v>
      </c>
      <c r="D20" s="1">
        <f t="shared" si="0"/>
        <v>-0.86685041982598388</v>
      </c>
      <c r="E20" s="1">
        <f t="shared" si="0"/>
        <v>4.1908230357094456E-2</v>
      </c>
    </row>
    <row r="21" spans="1:5" ht="15.5" x14ac:dyDescent="0.35">
      <c r="A21" s="38" t="s">
        <v>23</v>
      </c>
      <c r="B21" s="63">
        <f>'Données financières brutes'!R21/'Données financières brutes'!F21</f>
        <v>1.0998652818217376</v>
      </c>
      <c r="C21" s="63">
        <f>'Données financières brutes'!S21/'Données financières brutes'!G21</f>
        <v>0.71574272084224377</v>
      </c>
      <c r="D21" s="1"/>
      <c r="E21" s="1"/>
    </row>
  </sheetData>
  <mergeCells count="3">
    <mergeCell ref="A1:A2"/>
    <mergeCell ref="B1:C1"/>
    <mergeCell ref="D1:E1"/>
  </mergeCells>
  <conditionalFormatting sqref="D3:E20">
    <cfRule type="cellIs" dxfId="1" priority="2" operator="greaterThan">
      <formula>0</formula>
    </cfRule>
  </conditionalFormatting>
  <conditionalFormatting sqref="D3:E21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5"/>
  <sheetViews>
    <sheetView topLeftCell="A7" zoomScale="85" zoomScaleNormal="85" workbookViewId="0">
      <selection activeCell="N53" sqref="N53:O53"/>
    </sheetView>
  </sheetViews>
  <sheetFormatPr defaultColWidth="10.7265625" defaultRowHeight="14.5" x14ac:dyDescent="0.35"/>
  <cols>
    <col min="1" max="1" width="74.54296875" bestFit="1" customWidth="1"/>
    <col min="2" max="3" width="14.7265625" style="3" customWidth="1"/>
    <col min="5" max="5" width="53.81640625" customWidth="1"/>
    <col min="6" max="6" width="10.81640625" style="3"/>
    <col min="7" max="7" width="10.7265625" style="3"/>
    <col min="9" max="9" width="51.1796875" customWidth="1"/>
    <col min="10" max="11" width="13.81640625" style="3" customWidth="1"/>
    <col min="13" max="13" width="62.453125" style="7" customWidth="1"/>
    <col min="14" max="14" width="10.81640625" style="2"/>
    <col min="15" max="15" width="10.7265625" style="2"/>
  </cols>
  <sheetData>
    <row r="1" spans="1:15" ht="15.5" x14ac:dyDescent="0.35">
      <c r="A1" s="41" t="s">
        <v>10</v>
      </c>
      <c r="B1" s="42">
        <v>2025</v>
      </c>
      <c r="C1" s="42">
        <v>2024</v>
      </c>
      <c r="E1" s="41" t="s">
        <v>11</v>
      </c>
      <c r="F1" s="42">
        <v>2025</v>
      </c>
      <c r="G1" s="42">
        <v>2024</v>
      </c>
      <c r="I1" s="41" t="s">
        <v>15</v>
      </c>
      <c r="J1" s="42">
        <v>2025</v>
      </c>
      <c r="K1" s="42">
        <v>2024</v>
      </c>
      <c r="M1" s="41" t="s">
        <v>139</v>
      </c>
      <c r="N1" s="42">
        <v>2025</v>
      </c>
      <c r="O1" s="42">
        <v>2024</v>
      </c>
    </row>
    <row r="2" spans="1:15" x14ac:dyDescent="0.35">
      <c r="A2" s="4" t="s">
        <v>34</v>
      </c>
      <c r="B2" s="5">
        <v>1.1120000000000001</v>
      </c>
      <c r="C2" s="5">
        <v>0.79900000000000004</v>
      </c>
      <c r="E2" s="4" t="s">
        <v>81</v>
      </c>
      <c r="F2" s="5">
        <v>0.91300000000000003</v>
      </c>
      <c r="G2" s="5">
        <v>0.53200000000000003</v>
      </c>
      <c r="I2" s="4" t="s">
        <v>114</v>
      </c>
      <c r="J2" s="5">
        <v>0.43099999999999999</v>
      </c>
      <c r="K2" s="5">
        <v>0.24199999999999999</v>
      </c>
      <c r="M2" s="4" t="s">
        <v>140</v>
      </c>
      <c r="N2" s="5">
        <v>6.4539999999999997</v>
      </c>
      <c r="O2" s="5">
        <v>3.54</v>
      </c>
    </row>
    <row r="3" spans="1:15" x14ac:dyDescent="0.35">
      <c r="A3" s="4" t="s">
        <v>35</v>
      </c>
      <c r="B3" s="5">
        <v>0.34300000000000003</v>
      </c>
      <c r="C3" s="5">
        <v>0.63400000000000001</v>
      </c>
      <c r="E3" s="4" t="s">
        <v>82</v>
      </c>
      <c r="F3" s="5">
        <v>3.1949999999999998</v>
      </c>
      <c r="G3" s="5">
        <v>2.5030000000000001</v>
      </c>
      <c r="I3" s="4" t="s">
        <v>115</v>
      </c>
      <c r="J3" s="5">
        <v>2.1999999999999999E-2</v>
      </c>
      <c r="K3" s="5">
        <v>2E-3</v>
      </c>
      <c r="M3" s="4" t="s">
        <v>141</v>
      </c>
      <c r="N3" s="5">
        <v>0.78500000000000003</v>
      </c>
      <c r="O3" s="5">
        <v>4.0679999999999996</v>
      </c>
    </row>
    <row r="4" spans="1:15" x14ac:dyDescent="0.35">
      <c r="A4" s="4" t="s">
        <v>36</v>
      </c>
      <c r="B4" s="5">
        <v>0.58299999999999996</v>
      </c>
      <c r="C4" s="5">
        <v>0.38500000000000001</v>
      </c>
      <c r="E4" s="4" t="s">
        <v>83</v>
      </c>
      <c r="F4" s="5">
        <v>0.155</v>
      </c>
      <c r="G4" s="5">
        <v>0.14699999999999999</v>
      </c>
      <c r="I4" s="4" t="s">
        <v>116</v>
      </c>
      <c r="J4" s="5">
        <v>1.0920000000000001</v>
      </c>
      <c r="K4" s="5">
        <v>0.72299999999999998</v>
      </c>
      <c r="M4" s="4" t="s">
        <v>142</v>
      </c>
      <c r="N4" s="5">
        <v>7.1999999999999995E-2</v>
      </c>
      <c r="O4" s="5">
        <v>6.6000000000000003E-2</v>
      </c>
    </row>
    <row r="5" spans="1:15" x14ac:dyDescent="0.35">
      <c r="A5" s="4" t="s">
        <v>37</v>
      </c>
      <c r="B5" s="5">
        <v>0.79800000000000004</v>
      </c>
      <c r="C5" s="5">
        <v>0.27700000000000002</v>
      </c>
      <c r="E5" s="4" t="s">
        <v>84</v>
      </c>
      <c r="F5" s="5">
        <v>0.67</v>
      </c>
      <c r="G5" s="5">
        <v>8.0760000000000005</v>
      </c>
      <c r="I5" s="4" t="s">
        <v>117</v>
      </c>
      <c r="J5" s="5">
        <v>1.2210000000000001</v>
      </c>
      <c r="K5" s="5">
        <v>1.0529999999999999</v>
      </c>
      <c r="M5" s="4" t="s">
        <v>143</v>
      </c>
      <c r="N5" s="5">
        <v>8.2919999999999998</v>
      </c>
      <c r="O5" s="5">
        <v>7.1210000000000004</v>
      </c>
    </row>
    <row r="6" spans="1:15" ht="15.5" x14ac:dyDescent="0.35">
      <c r="A6" s="4" t="s">
        <v>38</v>
      </c>
      <c r="B6" s="5">
        <v>1.4999999999999999E-2</v>
      </c>
      <c r="C6" s="5">
        <v>1.6E-2</v>
      </c>
      <c r="E6" s="4" t="s">
        <v>85</v>
      </c>
      <c r="F6" s="5">
        <v>0.41899999999999998</v>
      </c>
      <c r="G6" s="5">
        <v>0.44600000000000001</v>
      </c>
      <c r="I6" s="39" t="s">
        <v>24</v>
      </c>
      <c r="J6" s="40">
        <f>SUM(J2:J5)</f>
        <v>2.766</v>
      </c>
      <c r="K6" s="40">
        <f>SUM(K2:K5)</f>
        <v>2.02</v>
      </c>
      <c r="M6" s="4" t="s">
        <v>145</v>
      </c>
      <c r="N6" s="5">
        <v>0.33</v>
      </c>
      <c r="O6" s="5">
        <v>0.22500000000000001</v>
      </c>
    </row>
    <row r="7" spans="1:15" x14ac:dyDescent="0.35">
      <c r="A7" s="4" t="s">
        <v>39</v>
      </c>
      <c r="B7" s="5">
        <v>0.47599999999999998</v>
      </c>
      <c r="C7" s="5">
        <v>0.39800000000000002</v>
      </c>
      <c r="E7" s="4" t="s">
        <v>86</v>
      </c>
      <c r="F7" s="5">
        <v>9.2999999999999999E-2</v>
      </c>
      <c r="G7" s="5">
        <v>8.3000000000000004E-2</v>
      </c>
      <c r="J7" s="2"/>
      <c r="K7" s="2"/>
      <c r="M7" s="4" t="s">
        <v>144</v>
      </c>
      <c r="N7" s="5">
        <v>3.1869999999999998</v>
      </c>
      <c r="O7" s="5">
        <v>2.8010000000000002</v>
      </c>
    </row>
    <row r="8" spans="1:15" ht="15.5" x14ac:dyDescent="0.35">
      <c r="A8" s="4" t="s">
        <v>40</v>
      </c>
      <c r="B8" s="5">
        <v>0.16</v>
      </c>
      <c r="C8" s="5">
        <v>0</v>
      </c>
      <c r="E8" s="4" t="s">
        <v>87</v>
      </c>
      <c r="F8" s="5">
        <v>8.5000000000000006E-2</v>
      </c>
      <c r="G8" s="5">
        <v>8.8999999999999996E-2</v>
      </c>
      <c r="I8" s="41" t="s">
        <v>31</v>
      </c>
      <c r="J8" s="42">
        <v>2025</v>
      </c>
      <c r="K8" s="42">
        <v>2024</v>
      </c>
      <c r="M8" s="4" t="s">
        <v>146</v>
      </c>
      <c r="N8" s="5">
        <v>1.841</v>
      </c>
      <c r="O8" s="5">
        <v>1.413</v>
      </c>
    </row>
    <row r="9" spans="1:15" ht="15.5" x14ac:dyDescent="0.35">
      <c r="A9" s="39" t="s">
        <v>24</v>
      </c>
      <c r="B9" s="40">
        <f>SUM(B2:B8)</f>
        <v>3.4870000000000005</v>
      </c>
      <c r="C9" s="40">
        <f>SUM(C2:C8)</f>
        <v>2.5090000000000003</v>
      </c>
      <c r="E9" s="4" t="s">
        <v>88</v>
      </c>
      <c r="F9" s="5">
        <v>0.25</v>
      </c>
      <c r="G9" s="5">
        <v>0.22800000000000001</v>
      </c>
      <c r="I9" s="4" t="s">
        <v>118</v>
      </c>
      <c r="J9" s="5">
        <v>0.497</v>
      </c>
      <c r="K9" s="5">
        <v>0.29199999999999998</v>
      </c>
      <c r="M9" s="4" t="s">
        <v>147</v>
      </c>
      <c r="N9" s="5">
        <v>0</v>
      </c>
      <c r="O9" s="5">
        <v>1.7000000000000001E-2</v>
      </c>
    </row>
    <row r="10" spans="1:15" x14ac:dyDescent="0.35">
      <c r="E10" s="4" t="s">
        <v>89</v>
      </c>
      <c r="F10" s="5">
        <v>2.7E-2</v>
      </c>
      <c r="G10" s="5">
        <v>7.1999999999999995E-2</v>
      </c>
      <c r="I10" s="4" t="s">
        <v>119</v>
      </c>
      <c r="J10" s="5">
        <v>8.2000000000000003E-2</v>
      </c>
      <c r="K10" s="5">
        <v>6.9000000000000006E-2</v>
      </c>
      <c r="M10" s="4" t="s">
        <v>148</v>
      </c>
      <c r="N10" s="5">
        <v>0.218</v>
      </c>
      <c r="O10" s="5">
        <v>0.18</v>
      </c>
    </row>
    <row r="11" spans="1:15" ht="15.5" x14ac:dyDescent="0.35">
      <c r="A11" s="41" t="s">
        <v>63</v>
      </c>
      <c r="B11" s="42">
        <v>2025</v>
      </c>
      <c r="C11" s="42">
        <v>2024</v>
      </c>
      <c r="E11" s="4" t="s">
        <v>90</v>
      </c>
      <c r="F11" s="5">
        <v>0.02</v>
      </c>
      <c r="G11" s="5">
        <v>1.9E-2</v>
      </c>
      <c r="I11" s="4" t="s">
        <v>120</v>
      </c>
      <c r="J11" s="5">
        <v>0.105</v>
      </c>
      <c r="K11" s="5">
        <v>5.1999999999999998E-2</v>
      </c>
      <c r="M11" s="39" t="s">
        <v>24</v>
      </c>
      <c r="N11" s="40">
        <f>SUM(N2:N10)</f>
        <v>21.179000000000002</v>
      </c>
      <c r="O11" s="40">
        <f>SUM(O2:O10)</f>
        <v>19.430999999999997</v>
      </c>
    </row>
    <row r="12" spans="1:15" ht="15.5" x14ac:dyDescent="0.35">
      <c r="A12" s="4" t="s">
        <v>51</v>
      </c>
      <c r="B12" s="5">
        <v>0</v>
      </c>
      <c r="C12" s="5">
        <v>2.117</v>
      </c>
      <c r="E12" s="39" t="s">
        <v>24</v>
      </c>
      <c r="F12" s="40">
        <f>SUM(F2:F11)</f>
        <v>5.8269999999999991</v>
      </c>
      <c r="G12" s="40">
        <f>SUM(G2:G11)</f>
        <v>12.195</v>
      </c>
      <c r="I12" s="4" t="s">
        <v>121</v>
      </c>
      <c r="J12" s="5">
        <v>0</v>
      </c>
      <c r="K12" s="5">
        <v>0.14199999999999999</v>
      </c>
    </row>
    <row r="13" spans="1:15" ht="15.5" x14ac:dyDescent="0.35">
      <c r="A13" s="4" t="s">
        <v>52</v>
      </c>
      <c r="B13" s="5">
        <v>0.13</v>
      </c>
      <c r="C13" s="5">
        <v>0.122</v>
      </c>
      <c r="F13" s="2"/>
      <c r="G13" s="2"/>
      <c r="I13" s="4" t="s">
        <v>122</v>
      </c>
      <c r="J13" s="5">
        <v>7.9000000000000001E-2</v>
      </c>
      <c r="K13" s="5">
        <v>0.25</v>
      </c>
      <c r="M13" s="41" t="s">
        <v>149</v>
      </c>
      <c r="N13" s="42">
        <v>2025</v>
      </c>
      <c r="O13" s="42">
        <v>2024</v>
      </c>
    </row>
    <row r="14" spans="1:15" ht="15.5" x14ac:dyDescent="0.35">
      <c r="A14" s="4" t="s">
        <v>53</v>
      </c>
      <c r="B14" s="5">
        <v>0.26100000000000001</v>
      </c>
      <c r="C14" s="5">
        <v>0.187</v>
      </c>
      <c r="E14" s="41" t="s">
        <v>12</v>
      </c>
      <c r="F14" s="42">
        <v>2025</v>
      </c>
      <c r="G14" s="42">
        <v>2024</v>
      </c>
      <c r="I14" s="4" t="s">
        <v>123</v>
      </c>
      <c r="J14" s="8">
        <v>0.21299999999999999</v>
      </c>
      <c r="K14" s="8">
        <v>0.157</v>
      </c>
      <c r="M14" s="11" t="s">
        <v>150</v>
      </c>
      <c r="N14" s="5">
        <v>0.89800000000000002</v>
      </c>
      <c r="O14" s="5">
        <v>0.70399999999999996</v>
      </c>
    </row>
    <row r="15" spans="1:15" x14ac:dyDescent="0.35">
      <c r="A15" s="4" t="s">
        <v>54</v>
      </c>
      <c r="B15" s="5">
        <v>0.247</v>
      </c>
      <c r="C15" s="5">
        <v>0.216</v>
      </c>
      <c r="E15" s="4" t="s">
        <v>41</v>
      </c>
      <c r="F15" s="5">
        <v>0.156</v>
      </c>
      <c r="G15" s="5">
        <v>0.11</v>
      </c>
      <c r="I15" s="4" t="s">
        <v>124</v>
      </c>
      <c r="J15" s="8">
        <v>0.01</v>
      </c>
      <c r="K15" s="8">
        <v>1.6E-2</v>
      </c>
      <c r="M15" s="11" t="s">
        <v>151</v>
      </c>
      <c r="N15" s="5">
        <v>5.8999999999999997E-2</v>
      </c>
      <c r="O15" s="5">
        <v>4.5999999999999999E-2</v>
      </c>
    </row>
    <row r="16" spans="1:15" ht="15.5" x14ac:dyDescent="0.35">
      <c r="A16" s="4" t="s">
        <v>55</v>
      </c>
      <c r="B16" s="5">
        <v>0</v>
      </c>
      <c r="C16" s="5">
        <v>0</v>
      </c>
      <c r="E16" s="4" t="s">
        <v>43</v>
      </c>
      <c r="F16" s="5">
        <v>0.505</v>
      </c>
      <c r="G16" s="5">
        <v>0.39600000000000002</v>
      </c>
      <c r="I16" s="39" t="s">
        <v>24</v>
      </c>
      <c r="J16" s="40">
        <f>SUM(J9:J15)</f>
        <v>0.98599999999999988</v>
      </c>
      <c r="K16" s="40">
        <f>SUM(K9:K15)</f>
        <v>0.97799999999999998</v>
      </c>
      <c r="M16" s="11" t="s">
        <v>152</v>
      </c>
      <c r="N16" s="5">
        <v>7.2999999999999995E-2</v>
      </c>
      <c r="O16" s="5">
        <v>6.4000000000000001E-2</v>
      </c>
    </row>
    <row r="17" spans="1:15" x14ac:dyDescent="0.35">
      <c r="A17" s="4" t="s">
        <v>56</v>
      </c>
      <c r="B17" s="5">
        <v>0.158</v>
      </c>
      <c r="C17" s="5">
        <v>0.14699999999999999</v>
      </c>
      <c r="E17" s="4" t="s">
        <v>91</v>
      </c>
      <c r="F17" s="5">
        <v>5.0000000000000001E-3</v>
      </c>
      <c r="G17" s="5">
        <v>3.0000000000000001E-3</v>
      </c>
      <c r="M17" s="11" t="s">
        <v>106</v>
      </c>
      <c r="N17" s="5">
        <v>1.6E-2</v>
      </c>
      <c r="O17" s="5">
        <v>1.6E-2</v>
      </c>
    </row>
    <row r="18" spans="1:15" ht="15.5" x14ac:dyDescent="0.35">
      <c r="A18" s="4" t="s">
        <v>57</v>
      </c>
      <c r="B18" s="5">
        <v>6.8000000000000005E-2</v>
      </c>
      <c r="C18" s="5">
        <v>4.7E-2</v>
      </c>
      <c r="E18" s="4" t="s">
        <v>92</v>
      </c>
      <c r="F18" s="5">
        <v>0</v>
      </c>
      <c r="G18" s="5">
        <v>0.4</v>
      </c>
      <c r="I18" s="41" t="s">
        <v>16</v>
      </c>
      <c r="J18" s="42">
        <v>2025</v>
      </c>
      <c r="K18" s="42">
        <v>2024</v>
      </c>
      <c r="M18" s="11" t="s">
        <v>153</v>
      </c>
      <c r="N18" s="5">
        <v>2E-3</v>
      </c>
      <c r="O18" s="5">
        <v>2.8000000000000001E-2</v>
      </c>
    </row>
    <row r="19" spans="1:15" ht="15.5" x14ac:dyDescent="0.35">
      <c r="A19" s="4" t="s">
        <v>58</v>
      </c>
      <c r="B19" s="5">
        <v>1E-3</v>
      </c>
      <c r="C19" s="5">
        <v>1E-3</v>
      </c>
      <c r="E19" s="4" t="s">
        <v>93</v>
      </c>
      <c r="F19" s="5">
        <v>0.80700000000000005</v>
      </c>
      <c r="G19" s="5">
        <v>0.32300000000000001</v>
      </c>
      <c r="I19" s="4" t="s">
        <v>125</v>
      </c>
      <c r="J19" s="5">
        <v>0.58599999999999997</v>
      </c>
      <c r="K19" s="5">
        <v>0.26300000000000001</v>
      </c>
      <c r="M19" s="39" t="s">
        <v>24</v>
      </c>
      <c r="N19" s="40">
        <f>SUM(N14:N18)</f>
        <v>1.048</v>
      </c>
      <c r="O19" s="40">
        <f>SUM(O14:O18)</f>
        <v>0.8580000000000001</v>
      </c>
    </row>
    <row r="20" spans="1:15" x14ac:dyDescent="0.35">
      <c r="A20" s="4" t="s">
        <v>59</v>
      </c>
      <c r="B20" s="5">
        <v>0</v>
      </c>
      <c r="C20" s="5">
        <v>0</v>
      </c>
      <c r="E20" s="4" t="s">
        <v>94</v>
      </c>
      <c r="F20" s="5">
        <v>4.8000000000000001E-2</v>
      </c>
      <c r="G20" s="5">
        <v>1.9E-2</v>
      </c>
      <c r="I20" s="4" t="s">
        <v>126</v>
      </c>
      <c r="J20" s="5">
        <v>0.10299999999999999</v>
      </c>
      <c r="K20" s="5">
        <v>9.0999999999999998E-2</v>
      </c>
      <c r="M20" s="10"/>
    </row>
    <row r="21" spans="1:15" ht="15.5" x14ac:dyDescent="0.35">
      <c r="A21" s="4" t="s">
        <v>60</v>
      </c>
      <c r="B21" s="5">
        <v>9.0999999999999998E-2</v>
      </c>
      <c r="C21" s="5">
        <v>0.106</v>
      </c>
      <c r="E21" s="4" t="s">
        <v>95</v>
      </c>
      <c r="F21" s="5">
        <v>0.02</v>
      </c>
      <c r="G21" s="5">
        <v>3.4000000000000002E-2</v>
      </c>
      <c r="I21" s="4" t="s">
        <v>127</v>
      </c>
      <c r="J21" s="5">
        <v>0.877</v>
      </c>
      <c r="K21" s="5">
        <v>0.72399999999999998</v>
      </c>
      <c r="M21" s="41" t="s">
        <v>18</v>
      </c>
      <c r="N21" s="42">
        <v>2025</v>
      </c>
      <c r="O21" s="42">
        <v>2024</v>
      </c>
    </row>
    <row r="22" spans="1:15" x14ac:dyDescent="0.35">
      <c r="A22" s="4" t="s">
        <v>61</v>
      </c>
      <c r="B22" s="5">
        <v>0.29499999999999998</v>
      </c>
      <c r="C22" s="5">
        <v>0</v>
      </c>
      <c r="E22" s="4" t="s">
        <v>96</v>
      </c>
      <c r="F22" s="5">
        <v>4.0000000000000001E-3</v>
      </c>
      <c r="G22" s="5">
        <v>3.0000000000000001E-3</v>
      </c>
      <c r="I22" s="4" t="s">
        <v>128</v>
      </c>
      <c r="J22" s="5">
        <v>0.28699999999999998</v>
      </c>
      <c r="K22" s="5">
        <v>0.21</v>
      </c>
      <c r="M22" s="4" t="s">
        <v>154</v>
      </c>
      <c r="N22" s="5">
        <v>0.66300000000000003</v>
      </c>
      <c r="O22" s="5">
        <v>0.35399999999999998</v>
      </c>
    </row>
    <row r="23" spans="1:15" ht="15.5" x14ac:dyDescent="0.35">
      <c r="A23" s="39" t="s">
        <v>24</v>
      </c>
      <c r="B23" s="40">
        <f>SUM(B12:B22)</f>
        <v>1.2510000000000001</v>
      </c>
      <c r="C23" s="40">
        <f>SUM(C12:C22)</f>
        <v>2.9429999999999996</v>
      </c>
      <c r="E23" s="4" t="s">
        <v>97</v>
      </c>
      <c r="F23" s="5">
        <v>1.4E-2</v>
      </c>
      <c r="G23" s="5">
        <v>1.4999999999999999E-2</v>
      </c>
      <c r="I23" s="4" t="s">
        <v>129</v>
      </c>
      <c r="J23" s="5">
        <v>0</v>
      </c>
      <c r="K23" s="5">
        <v>0</v>
      </c>
      <c r="M23" s="4" t="s">
        <v>155</v>
      </c>
      <c r="N23" s="5">
        <v>2.1999999999999999E-2</v>
      </c>
      <c r="O23" s="5">
        <v>1.9E-2</v>
      </c>
    </row>
    <row r="24" spans="1:15" ht="15.5" x14ac:dyDescent="0.35">
      <c r="E24" s="39" t="s">
        <v>24</v>
      </c>
      <c r="F24" s="40">
        <f>SUM(F15:F23)</f>
        <v>1.5590000000000002</v>
      </c>
      <c r="G24" s="40">
        <f>SUM(G15:G23)</f>
        <v>1.3029999999999997</v>
      </c>
      <c r="I24" s="4" t="s">
        <v>130</v>
      </c>
      <c r="J24" s="5">
        <v>0.23499999999999999</v>
      </c>
      <c r="K24" s="5">
        <v>1.0999999999999999E-2</v>
      </c>
      <c r="M24" s="4" t="s">
        <v>156</v>
      </c>
      <c r="N24" s="5">
        <v>0.47399999999999998</v>
      </c>
      <c r="O24" s="5">
        <v>4.3999999999999997E-2</v>
      </c>
    </row>
    <row r="25" spans="1:15" ht="15.5" x14ac:dyDescent="0.35">
      <c r="A25" s="41" t="s">
        <v>30</v>
      </c>
      <c r="B25" s="42">
        <v>2025</v>
      </c>
      <c r="C25" s="42">
        <v>2024</v>
      </c>
      <c r="I25" s="39" t="s">
        <v>24</v>
      </c>
      <c r="J25" s="40">
        <f>SUM(J19:J24)</f>
        <v>2.0879999999999996</v>
      </c>
      <c r="K25" s="40">
        <f>SUM(K19:K24)</f>
        <v>1.2989999999999997</v>
      </c>
      <c r="M25" s="4" t="s">
        <v>157</v>
      </c>
      <c r="N25" s="5">
        <v>4.0000000000000002E-4</v>
      </c>
      <c r="O25" s="5">
        <v>0</v>
      </c>
    </row>
    <row r="26" spans="1:15" ht="15.5" x14ac:dyDescent="0.35">
      <c r="A26" s="4" t="s">
        <v>45</v>
      </c>
      <c r="B26" s="5">
        <v>0.52700000000000002</v>
      </c>
      <c r="C26" s="5">
        <v>0.33300000000000002</v>
      </c>
      <c r="E26" s="41" t="s">
        <v>13</v>
      </c>
      <c r="F26" s="42">
        <v>2025</v>
      </c>
      <c r="G26" s="42">
        <v>2024</v>
      </c>
      <c r="M26" s="4" t="s">
        <v>158</v>
      </c>
      <c r="N26" s="5">
        <v>3.4000000000000002E-2</v>
      </c>
      <c r="O26" s="5">
        <v>1.0999999999999999E-2</v>
      </c>
    </row>
    <row r="27" spans="1:15" ht="15.5" x14ac:dyDescent="0.35">
      <c r="A27" s="4" t="s">
        <v>46</v>
      </c>
      <c r="B27" s="5">
        <v>0.107</v>
      </c>
      <c r="C27" s="5">
        <v>3.6999999999999998E-2</v>
      </c>
      <c r="E27" s="4" t="s">
        <v>98</v>
      </c>
      <c r="F27" s="5">
        <v>4.1000000000000002E-2</v>
      </c>
      <c r="G27" s="5">
        <v>1.2999999999999999E-2</v>
      </c>
      <c r="I27" s="41" t="s">
        <v>131</v>
      </c>
      <c r="J27" s="42">
        <v>2025</v>
      </c>
      <c r="K27" s="42">
        <v>2024</v>
      </c>
      <c r="M27" s="4" t="s">
        <v>159</v>
      </c>
      <c r="N27" s="5">
        <v>1.51</v>
      </c>
      <c r="O27" s="5">
        <v>0.96399999999999997</v>
      </c>
    </row>
    <row r="28" spans="1:15" x14ac:dyDescent="0.35">
      <c r="A28" s="4" t="s">
        <v>47</v>
      </c>
      <c r="B28" s="5">
        <v>0</v>
      </c>
      <c r="C28" s="5">
        <v>0</v>
      </c>
      <c r="E28" s="4" t="s">
        <v>99</v>
      </c>
      <c r="F28" s="5">
        <v>0.23200000000000001</v>
      </c>
      <c r="G28" s="5">
        <v>0.14699999999999999</v>
      </c>
      <c r="I28" s="4" t="s">
        <v>132</v>
      </c>
      <c r="J28" s="5">
        <v>0.318</v>
      </c>
      <c r="K28" s="5">
        <v>0.28100000000000003</v>
      </c>
      <c r="M28" s="4" t="s">
        <v>160</v>
      </c>
      <c r="N28" s="5">
        <v>0.161</v>
      </c>
      <c r="O28" s="5">
        <v>6.0999999999999999E-2</v>
      </c>
    </row>
    <row r="29" spans="1:15" x14ac:dyDescent="0.35">
      <c r="A29" s="4" t="s">
        <v>62</v>
      </c>
      <c r="B29" s="5">
        <v>0.17399999999999999</v>
      </c>
      <c r="C29" s="5">
        <v>0.17</v>
      </c>
      <c r="E29" s="4" t="s">
        <v>100</v>
      </c>
      <c r="F29" s="5">
        <v>0.151</v>
      </c>
      <c r="G29" s="5">
        <v>0.223</v>
      </c>
      <c r="I29" s="4" t="s">
        <v>105</v>
      </c>
      <c r="J29" s="5">
        <v>0.104</v>
      </c>
      <c r="K29" s="5">
        <v>8.3000000000000004E-2</v>
      </c>
      <c r="M29" s="4" t="s">
        <v>161</v>
      </c>
      <c r="N29" s="5">
        <v>1.2999999999999999E-2</v>
      </c>
      <c r="O29" s="5">
        <v>5.1999999999999998E-2</v>
      </c>
    </row>
    <row r="30" spans="1:15" x14ac:dyDescent="0.35">
      <c r="A30" s="4" t="s">
        <v>42</v>
      </c>
      <c r="B30" s="5">
        <v>3.8969999999999998</v>
      </c>
      <c r="C30" s="5">
        <v>2.3090000000000002</v>
      </c>
      <c r="E30" s="4" t="s">
        <v>101</v>
      </c>
      <c r="F30" s="5">
        <v>0</v>
      </c>
      <c r="G30" s="5">
        <v>0.02</v>
      </c>
      <c r="I30" s="4" t="s">
        <v>133</v>
      </c>
      <c r="J30" s="5">
        <v>7.2999999999999995E-2</v>
      </c>
      <c r="K30" s="5">
        <v>5.7000000000000002E-2</v>
      </c>
      <c r="M30" s="4" t="s">
        <v>162</v>
      </c>
      <c r="N30" s="5">
        <v>6.0999999999999999E-2</v>
      </c>
      <c r="O30" s="5">
        <v>4.4999999999999998E-2</v>
      </c>
    </row>
    <row r="31" spans="1:15" x14ac:dyDescent="0.35">
      <c r="A31" s="4" t="s">
        <v>43</v>
      </c>
      <c r="B31" s="5">
        <v>0.33700000000000002</v>
      </c>
      <c r="C31" s="5">
        <v>1.087</v>
      </c>
      <c r="E31" s="4" t="s">
        <v>102</v>
      </c>
      <c r="F31" s="5">
        <v>5.1999999999999998E-2</v>
      </c>
      <c r="G31" s="5">
        <v>5.0999999999999997E-2</v>
      </c>
      <c r="I31" s="4" t="s">
        <v>134</v>
      </c>
      <c r="J31" s="5">
        <v>9.4E-2</v>
      </c>
      <c r="K31" s="5">
        <v>0.09</v>
      </c>
      <c r="M31" s="4" t="s">
        <v>163</v>
      </c>
      <c r="N31" s="5">
        <v>8.0000000000000002E-3</v>
      </c>
      <c r="O31" s="5">
        <v>8.0000000000000002E-3</v>
      </c>
    </row>
    <row r="32" spans="1:15" ht="15.5" x14ac:dyDescent="0.35">
      <c r="A32" s="4" t="s">
        <v>44</v>
      </c>
      <c r="B32" s="5">
        <v>2.5999999999999999E-2</v>
      </c>
      <c r="C32" s="5">
        <v>0</v>
      </c>
      <c r="E32" s="4" t="s">
        <v>103</v>
      </c>
      <c r="F32" s="5">
        <v>4.0000000000000001E-3</v>
      </c>
      <c r="G32" s="5">
        <v>4.0000000000000001E-3</v>
      </c>
      <c r="I32" s="4" t="s">
        <v>135</v>
      </c>
      <c r="J32" s="5">
        <v>1E-4</v>
      </c>
      <c r="K32" s="5">
        <v>0</v>
      </c>
      <c r="M32" s="39" t="s">
        <v>24</v>
      </c>
      <c r="N32" s="40">
        <f>SUM(N22:N31)</f>
        <v>2.9464000000000001</v>
      </c>
      <c r="O32" s="40">
        <f>SUM(O22:O31)</f>
        <v>1.5579999999999998</v>
      </c>
    </row>
    <row r="33" spans="1:15" ht="15.5" x14ac:dyDescent="0.35">
      <c r="A33" s="4" t="s">
        <v>48</v>
      </c>
      <c r="B33" s="5">
        <v>6.5000000000000002E-2</v>
      </c>
      <c r="C33" s="5">
        <v>1.4E-2</v>
      </c>
      <c r="E33" s="39" t="s">
        <v>24</v>
      </c>
      <c r="F33" s="40">
        <f>SUM(F27:F32)</f>
        <v>0.48000000000000004</v>
      </c>
      <c r="G33" s="40">
        <f>SUM(G27:G32)</f>
        <v>0.45800000000000002</v>
      </c>
      <c r="I33" s="4" t="s">
        <v>136</v>
      </c>
      <c r="J33" s="5">
        <v>2.9000000000000001E-2</v>
      </c>
      <c r="K33" s="5">
        <v>1.4E-2</v>
      </c>
      <c r="M33" s="10"/>
    </row>
    <row r="34" spans="1:15" ht="15.5" x14ac:dyDescent="0.35">
      <c r="A34" s="4" t="s">
        <v>49</v>
      </c>
      <c r="B34" s="5">
        <v>6.6000000000000003E-2</v>
      </c>
      <c r="C34" s="5">
        <v>7.4999999999999997E-2</v>
      </c>
      <c r="I34" s="4" t="s">
        <v>137</v>
      </c>
      <c r="J34" s="5">
        <v>0</v>
      </c>
      <c r="K34" s="5">
        <v>9.4740000000000002</v>
      </c>
      <c r="M34" s="41" t="s">
        <v>19</v>
      </c>
      <c r="N34" s="42">
        <v>2025</v>
      </c>
      <c r="O34" s="42">
        <v>2024</v>
      </c>
    </row>
    <row r="35" spans="1:15" ht="15.5" x14ac:dyDescent="0.35">
      <c r="A35" s="4" t="s">
        <v>50</v>
      </c>
      <c r="B35" s="5">
        <v>6.0000000000000001E-3</v>
      </c>
      <c r="C35" s="5">
        <v>3.0000000000000001E-3</v>
      </c>
      <c r="E35" s="41" t="s">
        <v>14</v>
      </c>
      <c r="F35" s="42">
        <v>2025</v>
      </c>
      <c r="G35" s="42">
        <v>2024</v>
      </c>
      <c r="I35" s="4" t="s">
        <v>102</v>
      </c>
      <c r="J35" s="5">
        <v>1.956</v>
      </c>
      <c r="K35" s="5">
        <v>1.6120000000000001</v>
      </c>
      <c r="M35" s="11" t="s">
        <v>164</v>
      </c>
      <c r="N35" s="5">
        <v>5.0999999999999997E-2</v>
      </c>
      <c r="O35" s="5">
        <v>6.8000000000000005E-2</v>
      </c>
    </row>
    <row r="36" spans="1:15" ht="15.5" x14ac:dyDescent="0.35">
      <c r="A36" s="39" t="s">
        <v>24</v>
      </c>
      <c r="B36" s="40">
        <f>SUM(B26:B35)</f>
        <v>5.2050000000000001</v>
      </c>
      <c r="C36" s="40">
        <f>SUM(C26:C35)</f>
        <v>4.0279999999999996</v>
      </c>
      <c r="E36" s="4" t="s">
        <v>104</v>
      </c>
      <c r="F36" s="5">
        <v>5.8849999999999998</v>
      </c>
      <c r="G36" s="5">
        <v>3.282</v>
      </c>
      <c r="I36" s="4" t="s">
        <v>108</v>
      </c>
      <c r="J36" s="5">
        <v>5.1999999999999998E-2</v>
      </c>
      <c r="K36" s="5">
        <v>4.4999999999999998E-2</v>
      </c>
      <c r="M36" s="11" t="s">
        <v>165</v>
      </c>
      <c r="N36" s="5">
        <v>3.8959999999999999</v>
      </c>
      <c r="O36" s="5">
        <v>3.6459999999999999</v>
      </c>
    </row>
    <row r="37" spans="1:15" x14ac:dyDescent="0.35">
      <c r="E37" s="4" t="s">
        <v>105</v>
      </c>
      <c r="F37" s="5">
        <v>0.47899999999999998</v>
      </c>
      <c r="G37" s="5">
        <v>0.53100000000000003</v>
      </c>
      <c r="I37" s="4" t="s">
        <v>138</v>
      </c>
      <c r="J37" s="5">
        <v>0.03</v>
      </c>
      <c r="K37" s="5">
        <v>2.7E-2</v>
      </c>
      <c r="M37" s="11" t="s">
        <v>166</v>
      </c>
      <c r="N37" s="5">
        <v>0.57799999999999996</v>
      </c>
      <c r="O37" s="5">
        <v>0.53300000000000003</v>
      </c>
    </row>
    <row r="38" spans="1:15" ht="15.5" x14ac:dyDescent="0.35">
      <c r="A38" s="41" t="s">
        <v>64</v>
      </c>
      <c r="B38" s="42">
        <v>2025</v>
      </c>
      <c r="C38" s="42">
        <v>2024</v>
      </c>
      <c r="E38" s="4" t="s">
        <v>106</v>
      </c>
      <c r="F38" s="5">
        <v>0.754</v>
      </c>
      <c r="G38" s="5">
        <v>0.38200000000000001</v>
      </c>
      <c r="I38" s="4" t="s">
        <v>113</v>
      </c>
      <c r="J38" s="5">
        <v>2.5999999999999999E-2</v>
      </c>
      <c r="K38" s="5">
        <v>1.7000000000000001E-2</v>
      </c>
      <c r="M38" s="11" t="s">
        <v>167</v>
      </c>
      <c r="N38" s="5">
        <v>0.10100000000000001</v>
      </c>
      <c r="O38" s="5">
        <v>0.40100000000000002</v>
      </c>
    </row>
    <row r="39" spans="1:15" ht="15.5" x14ac:dyDescent="0.35">
      <c r="A39" s="6" t="s">
        <v>65</v>
      </c>
      <c r="B39" s="15">
        <v>-4.0000000000000001E-3</v>
      </c>
      <c r="C39" s="15">
        <v>-3.0590000000000002</v>
      </c>
      <c r="E39" s="4" t="s">
        <v>107</v>
      </c>
      <c r="F39" s="5">
        <v>0.02</v>
      </c>
      <c r="G39" s="5">
        <v>0</v>
      </c>
      <c r="I39" s="39" t="s">
        <v>24</v>
      </c>
      <c r="J39" s="40">
        <f>SUM(J28:J38)</f>
        <v>2.6820999999999997</v>
      </c>
      <c r="K39" s="40">
        <f>SUM(K28:K38)</f>
        <v>11.7</v>
      </c>
      <c r="M39" s="11" t="s">
        <v>103</v>
      </c>
      <c r="N39" s="5">
        <v>1.2999999999999999E-2</v>
      </c>
      <c r="O39" s="5">
        <v>1.4E-2</v>
      </c>
    </row>
    <row r="40" spans="1:15" x14ac:dyDescent="0.35">
      <c r="A40" s="6" t="s">
        <v>66</v>
      </c>
      <c r="B40" s="5">
        <v>0.193</v>
      </c>
      <c r="C40" s="5">
        <v>0.11899999999999999</v>
      </c>
      <c r="E40" s="4" t="s">
        <v>182</v>
      </c>
      <c r="F40" s="5">
        <v>11.518000000000001</v>
      </c>
      <c r="G40" s="5">
        <v>0.64100000000000001</v>
      </c>
      <c r="M40" s="11" t="s">
        <v>168</v>
      </c>
      <c r="N40" s="5">
        <v>2.0000000000000001E-4</v>
      </c>
      <c r="O40" s="5">
        <v>0.36199999999999999</v>
      </c>
    </row>
    <row r="41" spans="1:15" ht="15.5" x14ac:dyDescent="0.35">
      <c r="A41" s="6" t="s">
        <v>67</v>
      </c>
      <c r="B41" s="5">
        <v>1.7000000000000001E-2</v>
      </c>
      <c r="C41" s="5">
        <v>7.0000000000000001E-3</v>
      </c>
      <c r="E41" s="4" t="s">
        <v>43</v>
      </c>
      <c r="F41" s="5">
        <v>1.2250000000000001</v>
      </c>
      <c r="G41" s="5">
        <v>6.2110000000000003</v>
      </c>
      <c r="I41" s="41" t="s">
        <v>184</v>
      </c>
      <c r="J41" s="42">
        <v>2025</v>
      </c>
      <c r="K41" s="42">
        <v>2024</v>
      </c>
      <c r="M41" s="39" t="s">
        <v>24</v>
      </c>
      <c r="N41" s="40">
        <f>SUM(N35:N40)</f>
        <v>4.6392000000000007</v>
      </c>
      <c r="O41" s="40">
        <f>SUM(O35:O40)</f>
        <v>5.024</v>
      </c>
    </row>
    <row r="42" spans="1:15" x14ac:dyDescent="0.35">
      <c r="A42" s="6" t="s">
        <v>68</v>
      </c>
      <c r="B42" s="5">
        <v>1E-3</v>
      </c>
      <c r="C42" s="5">
        <v>3.0000000000000001E-3</v>
      </c>
      <c r="E42" s="4" t="s">
        <v>108</v>
      </c>
      <c r="F42" s="5">
        <v>8.8999999999999996E-2</v>
      </c>
      <c r="G42" s="5">
        <v>7.9000000000000001E-2</v>
      </c>
      <c r="I42" s="4" t="s">
        <v>186</v>
      </c>
      <c r="J42" s="5">
        <v>0.107</v>
      </c>
      <c r="K42" s="5">
        <v>0.1</v>
      </c>
      <c r="M42" s="10"/>
    </row>
    <row r="43" spans="1:15" ht="15.5" x14ac:dyDescent="0.35">
      <c r="A43" s="6" t="s">
        <v>69</v>
      </c>
      <c r="B43" s="5">
        <v>9.6000000000000002E-2</v>
      </c>
      <c r="C43" s="5">
        <v>0.22500000000000001</v>
      </c>
      <c r="E43" s="4" t="s">
        <v>109</v>
      </c>
      <c r="F43" s="5">
        <v>0.66700000000000004</v>
      </c>
      <c r="G43" s="5">
        <v>0.50700000000000001</v>
      </c>
      <c r="I43" s="4" t="s">
        <v>187</v>
      </c>
      <c r="J43" s="5">
        <v>0.18099999999999999</v>
      </c>
      <c r="K43" s="5">
        <v>7.0000000000000007E-2</v>
      </c>
      <c r="M43" s="41" t="s">
        <v>185</v>
      </c>
      <c r="N43" s="42">
        <v>2025</v>
      </c>
      <c r="O43" s="42">
        <v>2024</v>
      </c>
    </row>
    <row r="44" spans="1:15" x14ac:dyDescent="0.35">
      <c r="A44" s="6" t="s">
        <v>70</v>
      </c>
      <c r="B44" s="5">
        <v>6.9999999999999994E-5</v>
      </c>
      <c r="C44" s="5">
        <v>0</v>
      </c>
      <c r="E44" s="4" t="s">
        <v>110</v>
      </c>
      <c r="F44" s="5">
        <v>7.39</v>
      </c>
      <c r="G44" s="5">
        <v>5.9260000000000002</v>
      </c>
      <c r="I44" s="4" t="s">
        <v>188</v>
      </c>
      <c r="J44" s="5">
        <v>3.0000000000000001E-3</v>
      </c>
      <c r="K44" s="5">
        <v>2E-3</v>
      </c>
      <c r="M44" s="4" t="s">
        <v>194</v>
      </c>
      <c r="N44" s="5">
        <v>0.111</v>
      </c>
      <c r="O44" s="5">
        <v>0.24199999999999999</v>
      </c>
    </row>
    <row r="45" spans="1:15" x14ac:dyDescent="0.35">
      <c r="A45" s="6" t="s">
        <v>80</v>
      </c>
      <c r="B45" s="5">
        <v>6.9999999999999999E-4</v>
      </c>
      <c r="C45" s="5">
        <v>1E-3</v>
      </c>
      <c r="E45" s="4" t="s">
        <v>111</v>
      </c>
      <c r="F45" s="5">
        <v>0.95599999999999996</v>
      </c>
      <c r="G45" s="5">
        <v>0.77800000000000002</v>
      </c>
      <c r="I45" s="4" t="s">
        <v>189</v>
      </c>
      <c r="J45" s="5">
        <v>2.9999999999999997E-4</v>
      </c>
      <c r="K45" s="5">
        <v>0</v>
      </c>
      <c r="M45" s="4" t="s">
        <v>195</v>
      </c>
      <c r="N45" s="5">
        <v>5.0000000000000001E-3</v>
      </c>
      <c r="O45" s="5">
        <v>0.35199999999999998</v>
      </c>
    </row>
    <row r="46" spans="1:15" x14ac:dyDescent="0.35">
      <c r="A46" s="6" t="s">
        <v>71</v>
      </c>
      <c r="B46" s="5">
        <v>3.9E-2</v>
      </c>
      <c r="C46" s="5">
        <v>4.3999999999999997E-2</v>
      </c>
      <c r="E46" s="4" t="s">
        <v>112</v>
      </c>
      <c r="F46" s="5">
        <v>0.48099999999999998</v>
      </c>
      <c r="G46" s="5">
        <v>0.372</v>
      </c>
      <c r="I46" s="4" t="s">
        <v>190</v>
      </c>
      <c r="J46" s="5">
        <v>3.1E-2</v>
      </c>
      <c r="K46" s="5">
        <v>2.7E-2</v>
      </c>
      <c r="M46" s="4" t="s">
        <v>196</v>
      </c>
      <c r="N46" s="5">
        <v>0</v>
      </c>
      <c r="O46" s="5">
        <v>0</v>
      </c>
    </row>
    <row r="47" spans="1:15" x14ac:dyDescent="0.35">
      <c r="A47" s="6" t="s">
        <v>72</v>
      </c>
      <c r="B47" s="5">
        <v>5.0000000000000004E-6</v>
      </c>
      <c r="C47" s="5">
        <v>0</v>
      </c>
      <c r="E47" s="4" t="s">
        <v>113</v>
      </c>
      <c r="F47" s="5">
        <v>1.7999999999999999E-2</v>
      </c>
      <c r="G47" s="5">
        <v>0.20200000000000001</v>
      </c>
      <c r="I47" s="4" t="s">
        <v>191</v>
      </c>
      <c r="J47" s="5">
        <v>1.4999999999999999E-2</v>
      </c>
      <c r="K47" s="5">
        <v>1.9E-2</v>
      </c>
      <c r="M47" s="4" t="s">
        <v>197</v>
      </c>
      <c r="N47" s="5">
        <v>0.13500000000000001</v>
      </c>
      <c r="O47" s="5">
        <v>0.109</v>
      </c>
    </row>
    <row r="48" spans="1:15" ht="15.5" x14ac:dyDescent="0.35">
      <c r="A48" s="6" t="s">
        <v>73</v>
      </c>
      <c r="B48" s="5">
        <v>1.0820000000000001</v>
      </c>
      <c r="C48" s="5">
        <v>0.65700000000000003</v>
      </c>
      <c r="E48" s="39" t="s">
        <v>24</v>
      </c>
      <c r="F48" s="40">
        <f>SUM(F36:F47)</f>
        <v>29.482000000000003</v>
      </c>
      <c r="G48" s="40">
        <f>SUM(G36:G47)</f>
        <v>18.911000000000001</v>
      </c>
      <c r="I48" s="4" t="s">
        <v>192</v>
      </c>
      <c r="J48" s="5">
        <v>0.13400000000000001</v>
      </c>
      <c r="K48" s="5">
        <v>0.17499999999999999</v>
      </c>
      <c r="M48" s="4" t="s">
        <v>60</v>
      </c>
      <c r="N48" s="5">
        <v>0</v>
      </c>
      <c r="O48" s="5">
        <v>0</v>
      </c>
    </row>
    <row r="49" spans="1:15" x14ac:dyDescent="0.35">
      <c r="A49" s="6" t="s">
        <v>74</v>
      </c>
      <c r="B49" s="5">
        <v>7.1999999999999995E-2</v>
      </c>
      <c r="C49" s="5">
        <v>7.1999999999999995E-2</v>
      </c>
      <c r="I49" s="4" t="s">
        <v>193</v>
      </c>
      <c r="J49" s="5">
        <v>0.7</v>
      </c>
      <c r="K49" s="5">
        <v>0.7</v>
      </c>
      <c r="M49" s="4" t="s">
        <v>198</v>
      </c>
      <c r="N49" s="5">
        <v>0.10100000000000001</v>
      </c>
      <c r="O49" s="5">
        <v>0.11700000000000001</v>
      </c>
    </row>
    <row r="50" spans="1:15" x14ac:dyDescent="0.35">
      <c r="A50" s="6" t="s">
        <v>75</v>
      </c>
      <c r="B50" s="5">
        <v>0.01</v>
      </c>
      <c r="C50" s="5">
        <v>6.6980000000000004</v>
      </c>
      <c r="I50" s="4"/>
      <c r="J50" s="5"/>
      <c r="K50" s="5"/>
      <c r="M50" s="4" t="s">
        <v>199</v>
      </c>
      <c r="N50" s="5">
        <v>1.2E-2</v>
      </c>
      <c r="O50" s="5">
        <v>3.0000000000000001E-3</v>
      </c>
    </row>
    <row r="51" spans="1:15" ht="15.5" x14ac:dyDescent="0.35">
      <c r="A51" s="6" t="s">
        <v>76</v>
      </c>
      <c r="B51" s="5">
        <v>0</v>
      </c>
      <c r="C51" s="5">
        <v>5.7000000000000002E-2</v>
      </c>
      <c r="I51" s="39" t="s">
        <v>24</v>
      </c>
      <c r="J51" s="40">
        <f>SUM(J42:J49)</f>
        <v>1.1713</v>
      </c>
      <c r="K51" s="40">
        <f>SUM(K42:K49)</f>
        <v>1.093</v>
      </c>
      <c r="M51" s="4" t="s">
        <v>200</v>
      </c>
      <c r="N51" s="5">
        <v>0</v>
      </c>
      <c r="O51" s="5">
        <v>6.0000000000000001E-3</v>
      </c>
    </row>
    <row r="52" spans="1:15" x14ac:dyDescent="0.35">
      <c r="A52" s="6" t="s">
        <v>77</v>
      </c>
      <c r="B52" s="5">
        <v>8.0000000000000004E-4</v>
      </c>
      <c r="C52" s="5">
        <v>6.9999999999999999E-4</v>
      </c>
      <c r="M52" s="4" t="s">
        <v>201</v>
      </c>
      <c r="N52" s="5">
        <v>1E-3</v>
      </c>
      <c r="O52" s="5">
        <v>0</v>
      </c>
    </row>
    <row r="53" spans="1:15" ht="15.5" x14ac:dyDescent="0.35">
      <c r="A53" s="6" t="s">
        <v>78</v>
      </c>
      <c r="B53" s="5">
        <v>0.95399999999999996</v>
      </c>
      <c r="C53" s="5">
        <v>0.746</v>
      </c>
      <c r="M53" s="39" t="s">
        <v>24</v>
      </c>
      <c r="N53" s="40">
        <f>SUM(N44:N52)</f>
        <v>0.36499999999999999</v>
      </c>
      <c r="O53" s="40">
        <f>SUM(O44:O52)</f>
        <v>0.82899999999999996</v>
      </c>
    </row>
    <row r="54" spans="1:15" x14ac:dyDescent="0.35">
      <c r="A54" s="6" t="s">
        <v>79</v>
      </c>
      <c r="B54" s="5">
        <v>0.26300000000000001</v>
      </c>
      <c r="C54" s="5">
        <v>0.218</v>
      </c>
    </row>
    <row r="55" spans="1:15" ht="15.5" x14ac:dyDescent="0.35">
      <c r="A55" s="39" t="s">
        <v>24</v>
      </c>
      <c r="B55" s="40">
        <f>SUM(B39:B54)</f>
        <v>2.7245749999999997</v>
      </c>
      <c r="C55" s="40">
        <f>SUM(C39:C54)</f>
        <v>5.7887000000000004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S25"/>
  <sheetViews>
    <sheetView topLeftCell="E1" workbookViewId="0">
      <selection activeCell="K8" sqref="K8"/>
    </sheetView>
  </sheetViews>
  <sheetFormatPr defaultColWidth="10.7265625" defaultRowHeight="14.5" x14ac:dyDescent="0.35"/>
  <cols>
    <col min="1" max="1" width="32.7265625" bestFit="1" customWidth="1"/>
    <col min="2" max="2" width="12.453125" bestFit="1" customWidth="1"/>
    <col min="3" max="3" width="12.453125" customWidth="1"/>
    <col min="4" max="4" width="12.26953125" bestFit="1" customWidth="1"/>
    <col min="5" max="5" width="12.26953125" customWidth="1"/>
    <col min="8" max="8" width="15.26953125" bestFit="1" customWidth="1"/>
    <col min="9" max="9" width="15.26953125" customWidth="1"/>
    <col min="10" max="10" width="13.26953125" bestFit="1" customWidth="1"/>
    <col min="11" max="11" width="13.26953125" customWidth="1"/>
    <col min="12" max="12" width="11.453125" bestFit="1" customWidth="1"/>
    <col min="13" max="13" width="11.453125" customWidth="1"/>
    <col min="16" max="16" width="11.453125" bestFit="1" customWidth="1"/>
    <col min="17" max="17" width="11.453125" customWidth="1"/>
    <col min="22" max="22" width="11.54296875" bestFit="1" customWidth="1"/>
    <col min="23" max="23" width="11.54296875" customWidth="1"/>
    <col min="24" max="24" width="13.81640625" bestFit="1" customWidth="1"/>
    <col min="25" max="25" width="13.81640625" customWidth="1"/>
  </cols>
  <sheetData>
    <row r="2" spans="1:45" s="7" customFormat="1" x14ac:dyDescent="0.35">
      <c r="A2" s="81" t="s">
        <v>172</v>
      </c>
      <c r="B2" s="83" t="s">
        <v>174</v>
      </c>
      <c r="C2" s="83"/>
      <c r="D2" s="81" t="s">
        <v>11</v>
      </c>
      <c r="E2" s="81"/>
      <c r="F2" s="81" t="s">
        <v>173</v>
      </c>
      <c r="G2" s="81"/>
      <c r="H2" s="81" t="s">
        <v>175</v>
      </c>
      <c r="I2" s="81"/>
      <c r="J2" s="81" t="s">
        <v>176</v>
      </c>
      <c r="K2" s="81"/>
      <c r="L2" s="81" t="s">
        <v>177</v>
      </c>
      <c r="M2" s="81"/>
      <c r="N2" s="81" t="s">
        <v>31</v>
      </c>
      <c r="O2" s="81"/>
      <c r="P2" s="81" t="s">
        <v>178</v>
      </c>
      <c r="Q2" s="81"/>
      <c r="R2" s="81" t="s">
        <v>30</v>
      </c>
      <c r="S2" s="81"/>
      <c r="T2" s="81" t="s">
        <v>13</v>
      </c>
      <c r="U2" s="81"/>
      <c r="V2" s="81" t="s">
        <v>179</v>
      </c>
      <c r="W2" s="81"/>
      <c r="X2" s="81" t="s">
        <v>180</v>
      </c>
      <c r="Y2" s="81"/>
      <c r="Z2" s="81" t="s">
        <v>181</v>
      </c>
      <c r="AA2" s="81"/>
      <c r="AB2" s="81" t="s">
        <v>14</v>
      </c>
      <c r="AC2" s="81"/>
      <c r="AD2" s="81" t="s">
        <v>16</v>
      </c>
      <c r="AE2" s="81"/>
      <c r="AF2" s="81" t="s">
        <v>184</v>
      </c>
      <c r="AG2" s="81"/>
      <c r="AH2" s="81" t="s">
        <v>185</v>
      </c>
      <c r="AI2" s="81"/>
      <c r="AJ2" s="81" t="s">
        <v>19</v>
      </c>
      <c r="AK2" s="81"/>
      <c r="AL2" s="81" t="s">
        <v>183</v>
      </c>
      <c r="AM2" s="81"/>
    </row>
    <row r="3" spans="1:45" s="7" customFormat="1" x14ac:dyDescent="0.35">
      <c r="A3" s="81"/>
      <c r="B3" s="47">
        <v>2025</v>
      </c>
      <c r="C3" s="47">
        <v>2024</v>
      </c>
      <c r="D3" s="47">
        <v>2025</v>
      </c>
      <c r="E3" s="47">
        <v>2024</v>
      </c>
      <c r="F3" s="47">
        <v>2025</v>
      </c>
      <c r="G3" s="47">
        <v>2024</v>
      </c>
      <c r="H3" s="47">
        <v>2025</v>
      </c>
      <c r="I3" s="47">
        <v>2024</v>
      </c>
      <c r="J3" s="47">
        <v>2025</v>
      </c>
      <c r="K3" s="47">
        <v>2024</v>
      </c>
      <c r="L3" s="47">
        <v>2025</v>
      </c>
      <c r="M3" s="47">
        <v>2024</v>
      </c>
      <c r="N3" s="47">
        <v>2025</v>
      </c>
      <c r="O3" s="47">
        <v>2024</v>
      </c>
      <c r="P3" s="47">
        <v>2025</v>
      </c>
      <c r="Q3" s="47">
        <v>2024</v>
      </c>
      <c r="R3" s="47">
        <v>2025</v>
      </c>
      <c r="S3" s="47">
        <v>2024</v>
      </c>
      <c r="T3" s="47">
        <v>2025</v>
      </c>
      <c r="U3" s="47">
        <v>2024</v>
      </c>
      <c r="V3" s="47">
        <v>2025</v>
      </c>
      <c r="W3" s="47">
        <v>2024</v>
      </c>
      <c r="X3" s="47">
        <v>2025</v>
      </c>
      <c r="Y3" s="47">
        <v>2024</v>
      </c>
      <c r="Z3" s="47">
        <v>2025</v>
      </c>
      <c r="AA3" s="47">
        <v>2024</v>
      </c>
      <c r="AB3" s="47">
        <v>2025</v>
      </c>
      <c r="AC3" s="47">
        <v>2024</v>
      </c>
      <c r="AD3" s="47">
        <v>2025</v>
      </c>
      <c r="AE3" s="47">
        <v>2024</v>
      </c>
      <c r="AF3" s="47">
        <v>2025</v>
      </c>
      <c r="AG3" s="47">
        <v>2024</v>
      </c>
      <c r="AH3" s="47">
        <v>2025</v>
      </c>
      <c r="AI3" s="47">
        <v>2024</v>
      </c>
      <c r="AJ3" s="47">
        <v>2025</v>
      </c>
      <c r="AK3" s="47">
        <v>2024</v>
      </c>
      <c r="AL3" s="47">
        <v>2025</v>
      </c>
      <c r="AM3" s="47">
        <v>2024</v>
      </c>
    </row>
    <row r="4" spans="1:45" x14ac:dyDescent="0.35">
      <c r="A4" s="46" t="s">
        <v>82</v>
      </c>
      <c r="B4" s="4">
        <f>'Comp. CA'!B4+'Comp. CA'!B7</f>
        <v>1.0589999999999999</v>
      </c>
      <c r="C4" s="4">
        <f>'Comp. CA'!C4+'Comp. CA'!C7</f>
        <v>0.78300000000000003</v>
      </c>
      <c r="D4" s="4">
        <f>'Comp. CA'!F3+'Comp. CA'!F9</f>
        <v>3.4449999999999998</v>
      </c>
      <c r="E4" s="4">
        <f>'Comp. CA'!G3+'Comp. CA'!G9</f>
        <v>2.7310000000000003</v>
      </c>
      <c r="F4" s="4">
        <f>'Comp. CA'!J5</f>
        <v>1.2210000000000001</v>
      </c>
      <c r="G4" s="4">
        <f>'Comp. CA'!K5</f>
        <v>1.0529999999999999</v>
      </c>
      <c r="H4" s="4">
        <f>+'Comp. CA'!N5</f>
        <v>8.2919999999999998</v>
      </c>
      <c r="I4" s="4">
        <f>+'Comp. CA'!O5</f>
        <v>7.1210000000000004</v>
      </c>
      <c r="J4" s="4">
        <v>0</v>
      </c>
      <c r="K4" s="4">
        <v>0</v>
      </c>
      <c r="L4" s="4">
        <f>+'Comp. CA'!F19+'Comp. CA'!F20</f>
        <v>0.85500000000000009</v>
      </c>
      <c r="M4" s="4">
        <f>+'Comp. CA'!G19+'Comp. CA'!G20</f>
        <v>0.34200000000000003</v>
      </c>
      <c r="N4" s="4">
        <f>'Comp. CA'!J14</f>
        <v>0.21299999999999999</v>
      </c>
      <c r="O4" s="4">
        <f>'Comp. CA'!K14</f>
        <v>0.157</v>
      </c>
      <c r="P4" s="4">
        <f>'Comp. CA'!N14</f>
        <v>0.89800000000000002</v>
      </c>
      <c r="Q4" s="4">
        <f>'Comp. CA'!O14</f>
        <v>0.70399999999999996</v>
      </c>
      <c r="R4" s="4">
        <f>'Comp. CA'!B30</f>
        <v>3.8969999999999998</v>
      </c>
      <c r="S4" s="4">
        <f>'Comp. CA'!C30</f>
        <v>2.3090000000000002</v>
      </c>
      <c r="T4" s="4">
        <f>+'Comp. CA'!F31</f>
        <v>5.1999999999999998E-2</v>
      </c>
      <c r="U4" s="4">
        <f>+'Comp. CA'!G31</f>
        <v>5.0999999999999997E-2</v>
      </c>
      <c r="V4" s="4">
        <f>'Comp. CA'!J35</f>
        <v>1.956</v>
      </c>
      <c r="W4" s="4">
        <f>'Comp. CA'!K35</f>
        <v>1.6120000000000001</v>
      </c>
      <c r="X4" s="4">
        <f>+'Comp. CA'!N27+'Comp. CA'!N28</f>
        <v>1.671</v>
      </c>
      <c r="Y4" s="4">
        <f>+'Comp. CA'!O27+'Comp. CA'!O28</f>
        <v>1.0249999999999999</v>
      </c>
      <c r="Z4" s="4">
        <f>+'Comp. CA'!B53+'Comp. CA'!B54</f>
        <v>1.2170000000000001</v>
      </c>
      <c r="AA4" s="4">
        <f>+'Comp. CA'!C53+'Comp. CA'!C54</f>
        <v>0.96399999999999997</v>
      </c>
      <c r="AB4" s="4">
        <f>+'Comp. CA'!F43+'Comp. CA'!F44+'Comp. CA'!F45</f>
        <v>9.0129999999999999</v>
      </c>
      <c r="AC4" s="4">
        <f>+'Comp. CA'!G43+'Comp. CA'!G44+'Comp. CA'!G45</f>
        <v>7.2110000000000003</v>
      </c>
      <c r="AD4" s="4">
        <f>+'Comp. CA'!J20+'Comp. CA'!J21+'Comp. CA'!J22+'Comp. CA'!J24</f>
        <v>1.5019999999999998</v>
      </c>
      <c r="AE4" s="4">
        <f>+'Comp. CA'!K20+'Comp. CA'!K21+'Comp. CA'!K22+'Comp. CA'!K24</f>
        <v>1.0359999999999998</v>
      </c>
      <c r="AF4" s="4">
        <f>'Comp. CA'!J42</f>
        <v>0.107</v>
      </c>
      <c r="AG4" s="4">
        <f>'Comp. CA'!K42</f>
        <v>0.1</v>
      </c>
      <c r="AH4" s="4">
        <f>'Comp. CA'!N47</f>
        <v>0.13500000000000001</v>
      </c>
      <c r="AI4" s="4">
        <f>'Comp. CA'!O47</f>
        <v>0.109</v>
      </c>
      <c r="AJ4" s="4">
        <f>+'Comp. CA'!N36</f>
        <v>3.8959999999999999</v>
      </c>
      <c r="AK4" s="4">
        <f>+'Comp. CA'!O36</f>
        <v>3.6459999999999999</v>
      </c>
      <c r="AL4" s="12">
        <f>SUM(B4,D4,F4,H4,J4,L4,N4,P4,R4,T4,V4,X4,Z4,AB4,AD4,AF4,AH4,AJ4)</f>
        <v>39.428999999999995</v>
      </c>
      <c r="AM4" s="12">
        <f>SUM(C4,E4,G4,I4,K4,M4,O4,Q4,S4,U4,W4,Y4,AA4,AC4,AE4,AG4,AI4,AK4)</f>
        <v>30.954000000000008</v>
      </c>
      <c r="AN4" s="13">
        <f>+AL4/$AL$9</f>
        <v>0.43865477644365219</v>
      </c>
    </row>
    <row r="5" spans="1:45" x14ac:dyDescent="0.35">
      <c r="A5" s="46" t="s">
        <v>151</v>
      </c>
      <c r="B5" s="4">
        <f>'Comp. CA'!B2</f>
        <v>1.1120000000000001</v>
      </c>
      <c r="C5" s="4">
        <f>'Comp. CA'!C2</f>
        <v>0.79900000000000004</v>
      </c>
      <c r="D5" s="4">
        <f>'Comp. CA'!F2</f>
        <v>0.91300000000000003</v>
      </c>
      <c r="E5" s="4">
        <f>'Comp. CA'!G2</f>
        <v>0.53200000000000003</v>
      </c>
      <c r="F5" s="4">
        <f>'Comp. CA'!J2</f>
        <v>0.43099999999999999</v>
      </c>
      <c r="G5" s="4">
        <f>'Comp. CA'!K2</f>
        <v>0.24199999999999999</v>
      </c>
      <c r="H5" s="4">
        <f>'Comp. CA'!N2+'Comp. CA'!N4+'Comp. CA'!N9</f>
        <v>6.5259999999999998</v>
      </c>
      <c r="I5" s="4">
        <f>'Comp. CA'!O2+'Comp. CA'!O4+'Comp. CA'!O9</f>
        <v>3.6229999999999998</v>
      </c>
      <c r="J5" s="4">
        <f>'Comp. CA'!B14+'Comp. CA'!B15</f>
        <v>0.50800000000000001</v>
      </c>
      <c r="K5" s="4">
        <f>'Comp. CA'!C14+'Comp. CA'!C15</f>
        <v>0.40300000000000002</v>
      </c>
      <c r="L5" s="4">
        <f>'Comp. CA'!F15</f>
        <v>0.156</v>
      </c>
      <c r="M5" s="4">
        <f>'Comp. CA'!G15</f>
        <v>0.11</v>
      </c>
      <c r="N5" s="4">
        <f>'Comp. CA'!J11+'Comp. CA'!J13</f>
        <v>0.184</v>
      </c>
      <c r="O5" s="4">
        <f>'Comp. CA'!K11+'Comp. CA'!K13</f>
        <v>0.30199999999999999</v>
      </c>
      <c r="P5" s="4">
        <f>'Comp. CA'!N15</f>
        <v>5.8999999999999997E-2</v>
      </c>
      <c r="Q5" s="4">
        <f>'Comp. CA'!O15</f>
        <v>4.5999999999999999E-2</v>
      </c>
      <c r="R5" s="4">
        <f>'Comp. CA'!B26+'Comp. CA'!B27</f>
        <v>0.63400000000000001</v>
      </c>
      <c r="S5" s="4">
        <f>'Comp. CA'!C26+'Comp. CA'!C27</f>
        <v>0.37</v>
      </c>
      <c r="T5" s="4">
        <f>'Comp. CA'!F28</f>
        <v>0.23200000000000001</v>
      </c>
      <c r="U5" s="4">
        <f>'Comp. CA'!G28</f>
        <v>0.14699999999999999</v>
      </c>
      <c r="V5" s="4">
        <f>'Comp. CA'!J28</f>
        <v>0.318</v>
      </c>
      <c r="W5" s="4">
        <f>'Comp. CA'!K28</f>
        <v>0.28100000000000003</v>
      </c>
      <c r="X5" s="4">
        <f>'Comp. CA'!N22</f>
        <v>0.66300000000000003</v>
      </c>
      <c r="Y5" s="4">
        <f>'Comp. CA'!O22</f>
        <v>0.35399999999999998</v>
      </c>
      <c r="Z5" s="4">
        <f>'Comp. CA'!B40+'Comp. CA'!B41</f>
        <v>0.21000000000000002</v>
      </c>
      <c r="AA5" s="4">
        <f>'Comp. CA'!C40+'Comp. CA'!C41</f>
        <v>0.126</v>
      </c>
      <c r="AB5" s="4">
        <f>'Comp. CA'!F36</f>
        <v>5.8849999999999998</v>
      </c>
      <c r="AC5" s="4">
        <f>'Comp. CA'!G36</f>
        <v>3.282</v>
      </c>
      <c r="AD5" s="4">
        <f>'Comp. CA'!J19</f>
        <v>0.58599999999999997</v>
      </c>
      <c r="AE5" s="4">
        <f>'Comp. CA'!K19</f>
        <v>0.26300000000000001</v>
      </c>
      <c r="AF5" s="4">
        <f>'Comp. CA'!J43+'Comp. CA'!J48</f>
        <v>0.315</v>
      </c>
      <c r="AG5" s="4">
        <f>'Comp. CA'!K43+'Comp. CA'!K48</f>
        <v>0.245</v>
      </c>
      <c r="AH5" s="4">
        <f>'Comp. CA'!N44+'Comp. CA'!N50</f>
        <v>0.123</v>
      </c>
      <c r="AI5" s="4">
        <f>'Comp. CA'!O44+'Comp. CA'!O50</f>
        <v>0.245</v>
      </c>
      <c r="AJ5" s="4">
        <f>'Comp. CA'!N35</f>
        <v>5.0999999999999997E-2</v>
      </c>
      <c r="AK5" s="4">
        <f>'Comp. CA'!O35</f>
        <v>6.8000000000000005E-2</v>
      </c>
      <c r="AL5" s="12">
        <f t="shared" ref="AL5:AM8" si="0">SUM(B5,D5,F5,H5,J5,L5,N5,P5,R5,T5,V5,X5,Z5,AB5,AD5,AF5,AH5,AJ5)</f>
        <v>18.905999999999995</v>
      </c>
      <c r="AM5" s="12">
        <f t="shared" si="0"/>
        <v>11.437999999999999</v>
      </c>
      <c r="AN5" s="13">
        <f t="shared" ref="AN5:AN8" si="1">+AL5/$AL$9</f>
        <v>0.21033267907995859</v>
      </c>
      <c r="AP5">
        <f>H5+AB5</f>
        <v>12.411</v>
      </c>
      <c r="AQ5" s="53">
        <f>AP5/AL5</f>
        <v>0.65645826721675671</v>
      </c>
    </row>
    <row r="6" spans="1:45" x14ac:dyDescent="0.35">
      <c r="A6" s="46" t="s">
        <v>169</v>
      </c>
      <c r="B6" s="4">
        <f>'Comp. CA'!B5</f>
        <v>0.79800000000000004</v>
      </c>
      <c r="C6" s="4">
        <f>'Comp. CA'!C5</f>
        <v>0.27700000000000002</v>
      </c>
      <c r="D6" s="4">
        <f>'Comp. CA'!F6+'Comp. CA'!F7+'Comp. CA'!F8</f>
        <v>0.59699999999999998</v>
      </c>
      <c r="E6" s="4">
        <f>'Comp. CA'!G6+'Comp. CA'!G7+'Comp. CA'!G8</f>
        <v>0.61799999999999999</v>
      </c>
      <c r="F6" s="4">
        <f>'Comp. CA'!J3+'Comp. CA'!J4</f>
        <v>1.1140000000000001</v>
      </c>
      <c r="G6" s="4">
        <f>'Comp. CA'!K3+'Comp. CA'!K4</f>
        <v>0.72499999999999998</v>
      </c>
      <c r="H6" s="14">
        <f>'Comp. CA'!N7+'Comp. CA'!N10</f>
        <v>3.4049999999999998</v>
      </c>
      <c r="I6" s="14">
        <f>'Comp. CA'!O7+'Comp. CA'!O10</f>
        <v>2.9810000000000003</v>
      </c>
      <c r="J6" s="4">
        <f>+'Comp. CA'!B13+'Comp. CA'!B17+'Comp. CA'!B19+'Comp. CA'!B21+'Comp. CA'!B22</f>
        <v>0.67500000000000004</v>
      </c>
      <c r="K6" s="4">
        <f>+'Comp. CA'!C13+'Comp. CA'!C17+'Comp. CA'!C19+'Comp. CA'!C21+'Comp. CA'!C22</f>
        <v>0.376</v>
      </c>
      <c r="L6" s="4">
        <f>+'Comp. CA'!F21+'Comp. CA'!F22+'Comp. CA'!F23</f>
        <v>3.7999999999999999E-2</v>
      </c>
      <c r="M6" s="4">
        <f>+'Comp. CA'!G21+'Comp. CA'!G22+'Comp. CA'!G23</f>
        <v>5.2000000000000005E-2</v>
      </c>
      <c r="N6" s="4">
        <f>'Comp. CA'!J15+'Comp. CA'!J10</f>
        <v>9.1999999999999998E-2</v>
      </c>
      <c r="O6" s="4">
        <f>'Comp. CA'!K15+'Comp. CA'!K10</f>
        <v>8.5000000000000006E-2</v>
      </c>
      <c r="P6" s="4">
        <f>'Comp. CA'!N16+'Comp. CA'!N17</f>
        <v>8.8999999999999996E-2</v>
      </c>
      <c r="Q6" s="4">
        <f>'Comp. CA'!O16+'Comp. CA'!O17</f>
        <v>0.08</v>
      </c>
      <c r="R6" s="4">
        <f>'Comp. CA'!B35+'Comp. CA'!B29</f>
        <v>0.18</v>
      </c>
      <c r="S6" s="4">
        <f>'Comp. CA'!C35+'Comp. CA'!C29</f>
        <v>0.17300000000000001</v>
      </c>
      <c r="T6" s="4">
        <f>'Comp. CA'!F29</f>
        <v>0.151</v>
      </c>
      <c r="U6" s="4">
        <f>'Comp. CA'!G29</f>
        <v>0.223</v>
      </c>
      <c r="V6" s="9">
        <f>'Comp. CA'!J29+'Comp. CA'!J30+'Comp. CA'!J31+'Comp. CA'!J32+'Comp. CA'!J33+'Comp. CA'!J37+'Comp. CA'!J38</f>
        <v>0.35610000000000008</v>
      </c>
      <c r="W6" s="9">
        <f>'Comp. CA'!K29+'Comp. CA'!K30+'Comp. CA'!K31+'Comp. CA'!K32+'Comp. CA'!K33+'Comp. CA'!K37+'Comp. CA'!K38</f>
        <v>0.28800000000000003</v>
      </c>
      <c r="X6" s="4">
        <v>0</v>
      </c>
      <c r="Y6" s="4">
        <v>0</v>
      </c>
      <c r="Z6" s="9">
        <f>'Comp. CA'!B42+'Comp. CA'!B43+'Comp. CA'!B44+'Comp. CA'!B45+'Comp. CA'!B46+'Comp. CA'!B47+'Comp. CA'!B48+'Comp. CA'!B51+'Comp. CA'!B52</f>
        <v>1.2195750000000001</v>
      </c>
      <c r="AA6" s="9">
        <f>'Comp. CA'!C42+'Comp. CA'!C43+'Comp. CA'!C44+'Comp. CA'!C45+'Comp. CA'!C46+'Comp. CA'!C47+'Comp. CA'!C48+'Comp. CA'!C51+'Comp. CA'!C52</f>
        <v>0.98770000000000013</v>
      </c>
      <c r="AB6" s="14">
        <f>+'Comp. CA'!F37+'Comp. CA'!F38+'Comp. CA'!F39+'Comp. CA'!F40</f>
        <v>12.771000000000001</v>
      </c>
      <c r="AC6" s="14">
        <f>+'Comp. CA'!G37+'Comp. CA'!G38+'Comp. CA'!G39+'Comp. CA'!G40</f>
        <v>1.554</v>
      </c>
      <c r="AD6" s="4">
        <v>0</v>
      </c>
      <c r="AE6" s="4">
        <v>0</v>
      </c>
      <c r="AF6" s="4">
        <f>'Comp. CA'!J44+'Comp. CA'!J46+'Comp. CA'!J45</f>
        <v>3.4300000000000004E-2</v>
      </c>
      <c r="AG6" s="4">
        <f>'Comp. CA'!K44+'Comp. CA'!K46+'Comp. CA'!K45</f>
        <v>2.8999999999999998E-2</v>
      </c>
      <c r="AH6" s="4">
        <f>'Comp. CA'!N45+'Comp. CA'!N51+'Comp. CA'!N52+'Comp. CA'!N49</f>
        <v>0.10700000000000001</v>
      </c>
      <c r="AI6" s="4">
        <f>'Comp. CA'!O45+'Comp. CA'!O51+'Comp. CA'!O52+'Comp. CA'!O49</f>
        <v>0.47499999999999998</v>
      </c>
      <c r="AJ6" s="4">
        <f>+'Comp. CA'!N39+'Comp. CA'!N38+'Comp. CA'!N40</f>
        <v>0.11420000000000001</v>
      </c>
      <c r="AK6" s="4">
        <f>+'Comp. CA'!O39+'Comp. CA'!O38+'Comp. CA'!O40</f>
        <v>0.77700000000000002</v>
      </c>
      <c r="AL6" s="12">
        <f t="shared" si="0"/>
        <v>21.741175000000002</v>
      </c>
      <c r="AM6" s="12">
        <f t="shared" si="0"/>
        <v>9.7006999999999994</v>
      </c>
      <c r="AN6" s="13">
        <f t="shared" si="1"/>
        <v>0.24187451518545541</v>
      </c>
      <c r="AP6">
        <f>H6+AB6</f>
        <v>16.176000000000002</v>
      </c>
      <c r="AQ6" s="53">
        <f>AP6/AL6</f>
        <v>0.74402602435240972</v>
      </c>
      <c r="AR6">
        <f>AP5+AP6</f>
        <v>28.587000000000003</v>
      </c>
      <c r="AS6" s="53">
        <f>AR6/(AL5+AL6)</f>
        <v>0.70329610852414726</v>
      </c>
    </row>
    <row r="7" spans="1:45" x14ac:dyDescent="0.35">
      <c r="A7" s="46" t="s">
        <v>171</v>
      </c>
      <c r="B7" s="4">
        <f>'Comp. CA'!B6</f>
        <v>1.4999999999999999E-2</v>
      </c>
      <c r="C7" s="4">
        <f>'Comp. CA'!C6</f>
        <v>1.6E-2</v>
      </c>
      <c r="D7" s="4">
        <f>+'Comp. CA'!F4</f>
        <v>0.155</v>
      </c>
      <c r="E7" s="4">
        <f>+'Comp. CA'!G4</f>
        <v>0.14699999999999999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f>'Comp. CA'!B34</f>
        <v>6.6000000000000003E-2</v>
      </c>
      <c r="S7" s="4">
        <f>'Comp. CA'!C34</f>
        <v>7.4999999999999997E-2</v>
      </c>
      <c r="T7" s="4">
        <v>0</v>
      </c>
      <c r="U7" s="4">
        <v>0</v>
      </c>
      <c r="V7" s="4">
        <f>+'Comp. CA'!J36</f>
        <v>5.1999999999999998E-2</v>
      </c>
      <c r="W7" s="4">
        <f>+'Comp. CA'!K36</f>
        <v>4.4999999999999998E-2</v>
      </c>
      <c r="X7" s="4">
        <f>'Comp. CA'!N23</f>
        <v>2.1999999999999999E-2</v>
      </c>
      <c r="Y7" s="4">
        <f>'Comp. CA'!O23</f>
        <v>1.9E-2</v>
      </c>
      <c r="Z7" s="4">
        <f>'Comp. CA'!B49</f>
        <v>7.1999999999999995E-2</v>
      </c>
      <c r="AA7" s="4">
        <f>'Comp. CA'!C49</f>
        <v>7.1999999999999995E-2</v>
      </c>
      <c r="AB7" s="4">
        <f>+'Comp. CA'!F42</f>
        <v>8.8999999999999996E-2</v>
      </c>
      <c r="AC7" s="4">
        <f>+'Comp. CA'!G42</f>
        <v>7.9000000000000001E-2</v>
      </c>
      <c r="AD7" s="4">
        <v>0</v>
      </c>
      <c r="AE7" s="4">
        <v>0</v>
      </c>
      <c r="AF7" s="4">
        <f>'Comp. CA'!J47</f>
        <v>1.4999999999999999E-2</v>
      </c>
      <c r="AG7" s="4">
        <f>'Comp. CA'!K47</f>
        <v>1.9E-2</v>
      </c>
      <c r="AH7" s="4">
        <v>0</v>
      </c>
      <c r="AI7" s="4">
        <v>0</v>
      </c>
      <c r="AJ7" s="4">
        <v>0</v>
      </c>
      <c r="AK7" s="4">
        <v>0</v>
      </c>
      <c r="AL7" s="12">
        <f t="shared" si="0"/>
        <v>0.48599999999999999</v>
      </c>
      <c r="AM7" s="12">
        <f t="shared" si="0"/>
        <v>0.47200000000000003</v>
      </c>
      <c r="AN7" s="13">
        <f t="shared" si="1"/>
        <v>5.4068381483581875E-3</v>
      </c>
    </row>
    <row r="8" spans="1:45" x14ac:dyDescent="0.35">
      <c r="A8" s="46" t="s">
        <v>170</v>
      </c>
      <c r="B8" s="4">
        <f>'Comp. CA'!B3+'Comp. CA'!B8</f>
        <v>0.503</v>
      </c>
      <c r="C8" s="4">
        <f>'Comp. CA'!C3+'Comp. CA'!C8</f>
        <v>0.63400000000000001</v>
      </c>
      <c r="D8" s="4">
        <f>+'Comp. CA'!F5+'Comp. CA'!F10+'Comp. CA'!F11</f>
        <v>0.71700000000000008</v>
      </c>
      <c r="E8" s="4">
        <f>+'Comp. CA'!G5+'Comp. CA'!G10+'Comp. CA'!G11</f>
        <v>8.1669999999999998</v>
      </c>
      <c r="F8" s="4">
        <v>0</v>
      </c>
      <c r="G8" s="4">
        <v>0</v>
      </c>
      <c r="H8" s="4">
        <f>+'Comp. CA'!N3+'Comp. CA'!N6+'Comp. CA'!N8</f>
        <v>2.956</v>
      </c>
      <c r="I8" s="4">
        <f>+'Comp. CA'!O3+'Comp. CA'!O6+'Comp. CA'!O8</f>
        <v>5.7059999999999995</v>
      </c>
      <c r="J8" s="4">
        <f>'Comp. CA'!B18</f>
        <v>6.8000000000000005E-2</v>
      </c>
      <c r="K8" s="4">
        <f>'Comp. CA'!C18</f>
        <v>4.7E-2</v>
      </c>
      <c r="L8" s="4">
        <f>+'Comp. CA'!F16+'Comp. CA'!F17+'Comp. CA'!F18</f>
        <v>0.51</v>
      </c>
      <c r="M8" s="4">
        <f>+'Comp. CA'!G16+'Comp. CA'!G17+'Comp. CA'!G18</f>
        <v>0.79900000000000004</v>
      </c>
      <c r="N8" s="4">
        <f>'Comp. CA'!J9+'Comp. CA'!J12</f>
        <v>0.497</v>
      </c>
      <c r="O8" s="4">
        <f>'Comp. CA'!K9+'Comp. CA'!K12</f>
        <v>0.43399999999999994</v>
      </c>
      <c r="P8" s="4">
        <f>'Comp. CA'!N18</f>
        <v>2E-3</v>
      </c>
      <c r="Q8" s="4">
        <f>'Comp. CA'!O18</f>
        <v>2.8000000000000001E-2</v>
      </c>
      <c r="R8" s="4">
        <f>+'Comp. CA'!B31+'Comp. CA'!B32+'Comp. CA'!B33</f>
        <v>0.42800000000000005</v>
      </c>
      <c r="S8" s="4">
        <f>+'Comp. CA'!C31+'Comp. CA'!C32+'Comp. CA'!C33</f>
        <v>1.101</v>
      </c>
      <c r="T8" s="4">
        <f>'Comp. CA'!F27+'Comp. CA'!F32</f>
        <v>4.4999999999999998E-2</v>
      </c>
      <c r="U8" s="4">
        <f>'Comp. CA'!G27+'Comp. CA'!G32</f>
        <v>1.7000000000000001E-2</v>
      </c>
      <c r="V8" s="4">
        <f>'Comp. CA'!J34</f>
        <v>0</v>
      </c>
      <c r="W8" s="4">
        <f>'Comp. CA'!K34</f>
        <v>9.4740000000000002</v>
      </c>
      <c r="X8" s="4">
        <f>+'Comp. CA'!N24+'Comp. CA'!N26+'Comp. CA'!N29+'Comp. CA'!N30+'Comp. CA'!N31</f>
        <v>0.59000000000000008</v>
      </c>
      <c r="Y8" s="4">
        <f>+'Comp. CA'!O24+'Comp. CA'!O26+'Comp. CA'!O29+'Comp. CA'!O30+'Comp. CA'!O31</f>
        <v>0.15999999999999998</v>
      </c>
      <c r="Z8" s="4">
        <f>+'Comp. CA'!B50+'Comp. CA'!B39</f>
        <v>6.0000000000000001E-3</v>
      </c>
      <c r="AA8" s="4">
        <f>+'Comp. CA'!C50+'Comp. CA'!C39</f>
        <v>3.6390000000000002</v>
      </c>
      <c r="AB8" s="4">
        <f>+'Comp. CA'!F47+'Comp. CA'!F46+'Comp. CA'!F41</f>
        <v>1.7240000000000002</v>
      </c>
      <c r="AC8" s="4">
        <f>+'Comp. CA'!G47+'Comp. CA'!G46+'Comp. CA'!G41</f>
        <v>6.7850000000000001</v>
      </c>
      <c r="AD8" s="4">
        <v>0</v>
      </c>
      <c r="AE8" s="4">
        <v>0</v>
      </c>
      <c r="AF8" s="4">
        <f>'Comp. CA'!J49</f>
        <v>0.7</v>
      </c>
      <c r="AG8" s="4">
        <f>'Comp. CA'!K49</f>
        <v>0.7</v>
      </c>
      <c r="AH8" s="4">
        <v>0</v>
      </c>
      <c r="AI8" s="4">
        <v>0</v>
      </c>
      <c r="AJ8" s="4">
        <f>'Comp. CA'!N37</f>
        <v>0.57799999999999996</v>
      </c>
      <c r="AK8" s="4">
        <f>'Comp. CA'!O37</f>
        <v>0.53300000000000003</v>
      </c>
      <c r="AL8" s="12">
        <f t="shared" si="0"/>
        <v>9.3239999999999981</v>
      </c>
      <c r="AM8" s="12">
        <f t="shared" si="0"/>
        <v>38.224000000000004</v>
      </c>
      <c r="AN8" s="13">
        <f t="shared" si="1"/>
        <v>0.10373119114257558</v>
      </c>
    </row>
    <row r="9" spans="1:45" s="52" customFormat="1" ht="18.5" x14ac:dyDescent="0.45">
      <c r="A9" s="48" t="s">
        <v>24</v>
      </c>
      <c r="B9" s="49">
        <f t="shared" ref="B9:AJ9" si="2">SUM(B4:B8)</f>
        <v>3.4870000000000005</v>
      </c>
      <c r="C9" s="49">
        <f t="shared" ref="C9" si="3">SUM(C4:C8)</f>
        <v>2.5089999999999999</v>
      </c>
      <c r="D9" s="49">
        <f t="shared" si="2"/>
        <v>5.827</v>
      </c>
      <c r="E9" s="49">
        <f t="shared" ref="E9" si="4">SUM(E4:E8)</f>
        <v>12.195</v>
      </c>
      <c r="F9" s="49">
        <f t="shared" si="2"/>
        <v>2.766</v>
      </c>
      <c r="G9" s="49">
        <f t="shared" ref="G9" si="5">SUM(G4:G8)</f>
        <v>2.02</v>
      </c>
      <c r="H9" s="49">
        <f t="shared" si="2"/>
        <v>21.178999999999998</v>
      </c>
      <c r="I9" s="49">
        <f t="shared" ref="I9" si="6">SUM(I4:I8)</f>
        <v>19.430999999999997</v>
      </c>
      <c r="J9" s="49">
        <f t="shared" si="2"/>
        <v>1.2510000000000001</v>
      </c>
      <c r="K9" s="49">
        <f t="shared" ref="K9" si="7">SUM(K4:K8)</f>
        <v>0.82600000000000007</v>
      </c>
      <c r="L9" s="49">
        <f t="shared" si="2"/>
        <v>1.5590000000000002</v>
      </c>
      <c r="M9" s="49">
        <f t="shared" ref="M9" si="8">SUM(M4:M8)</f>
        <v>1.3029999999999999</v>
      </c>
      <c r="N9" s="49">
        <f t="shared" si="2"/>
        <v>0.98599999999999999</v>
      </c>
      <c r="O9" s="49">
        <f t="shared" ref="O9" si="9">SUM(O4:O8)</f>
        <v>0.97799999999999987</v>
      </c>
      <c r="P9" s="49">
        <f t="shared" si="2"/>
        <v>1.048</v>
      </c>
      <c r="Q9" s="49">
        <f t="shared" ref="Q9" si="10">SUM(Q4:Q8)</f>
        <v>0.85799999999999998</v>
      </c>
      <c r="R9" s="49">
        <f t="shared" si="2"/>
        <v>5.2049999999999992</v>
      </c>
      <c r="S9" s="49">
        <f t="shared" ref="S9" si="11">SUM(S4:S8)</f>
        <v>4.0280000000000005</v>
      </c>
      <c r="T9" s="49">
        <f t="shared" si="2"/>
        <v>0.48000000000000004</v>
      </c>
      <c r="U9" s="49">
        <f t="shared" ref="U9" si="12">SUM(U4:U8)</f>
        <v>0.438</v>
      </c>
      <c r="V9" s="50">
        <f t="shared" si="2"/>
        <v>2.6821000000000002</v>
      </c>
      <c r="W9" s="50">
        <f t="shared" ref="W9" si="13">SUM(W4:W8)</f>
        <v>11.7</v>
      </c>
      <c r="X9" s="50">
        <f t="shared" si="2"/>
        <v>2.9459999999999997</v>
      </c>
      <c r="Y9" s="50">
        <f t="shared" ref="Y9" si="14">SUM(Y4:Y8)</f>
        <v>1.5579999999999998</v>
      </c>
      <c r="Z9" s="50">
        <f t="shared" si="2"/>
        <v>2.7245750000000002</v>
      </c>
      <c r="AA9" s="50">
        <f t="shared" ref="AA9" si="15">SUM(AA4:AA8)</f>
        <v>5.7887000000000004</v>
      </c>
      <c r="AB9" s="50">
        <f t="shared" si="2"/>
        <v>29.481999999999999</v>
      </c>
      <c r="AC9" s="50">
        <f t="shared" ref="AC9" si="16">SUM(AC4:AC8)</f>
        <v>18.911000000000001</v>
      </c>
      <c r="AD9" s="50">
        <f t="shared" si="2"/>
        <v>2.0879999999999996</v>
      </c>
      <c r="AE9" s="50">
        <f t="shared" ref="AE9" si="17">SUM(AE4:AE8)</f>
        <v>1.2989999999999999</v>
      </c>
      <c r="AF9" s="50">
        <f>SUM(AF4:AF8)</f>
        <v>1.1713</v>
      </c>
      <c r="AG9" s="50">
        <f>SUM(AG4:AG8)</f>
        <v>1.093</v>
      </c>
      <c r="AH9" s="50">
        <f>SUM(AH4:AH8)</f>
        <v>0.36499999999999999</v>
      </c>
      <c r="AI9" s="50">
        <f>SUM(AI4:AI8)</f>
        <v>0.82899999999999996</v>
      </c>
      <c r="AJ9" s="50">
        <f t="shared" si="2"/>
        <v>4.6392000000000007</v>
      </c>
      <c r="AK9" s="50">
        <f t="shared" ref="AK9" si="18">SUM(AK4:AK8)</f>
        <v>5.024</v>
      </c>
      <c r="AL9" s="51">
        <f>SUM(AL4:AL8)</f>
        <v>89.886174999999994</v>
      </c>
      <c r="AM9" s="51">
        <f>SUM(AM4:AM8)</f>
        <v>90.788700000000006</v>
      </c>
      <c r="AN9" s="52">
        <f t="shared" ref="AN9" si="19">+AL9/$AL$9</f>
        <v>1</v>
      </c>
    </row>
    <row r="12" spans="1:45" x14ac:dyDescent="0.35">
      <c r="AB12" s="54" t="s">
        <v>203</v>
      </c>
      <c r="AC12" s="54" t="s">
        <v>14</v>
      </c>
      <c r="AD12" s="55" t="s">
        <v>181</v>
      </c>
    </row>
    <row r="13" spans="1:45" x14ac:dyDescent="0.35">
      <c r="AB13" s="7">
        <v>6526000</v>
      </c>
      <c r="AC13" s="7">
        <v>5885000</v>
      </c>
      <c r="AD13">
        <v>210000</v>
      </c>
    </row>
    <row r="14" spans="1:45" x14ac:dyDescent="0.35">
      <c r="AB14" s="7">
        <v>3156712232.4210005</v>
      </c>
      <c r="AC14" s="7">
        <v>2572128710.8189983</v>
      </c>
      <c r="AD14">
        <v>114547560.40499999</v>
      </c>
    </row>
    <row r="15" spans="1:45" x14ac:dyDescent="0.35">
      <c r="AB15" s="56">
        <f>+AB13/AB14</f>
        <v>2.0673408025523336E-3</v>
      </c>
      <c r="AC15" s="56">
        <f>+AC13/AC14</f>
        <v>2.2879881458677631E-3</v>
      </c>
      <c r="AD15" s="56">
        <f>+AD13/AD14</f>
        <v>1.8332996290581281E-3</v>
      </c>
    </row>
    <row r="18" spans="1:5" x14ac:dyDescent="0.35">
      <c r="A18" s="76" t="s">
        <v>172</v>
      </c>
      <c r="B18" s="81" t="s">
        <v>183</v>
      </c>
      <c r="C18" s="81"/>
    </row>
    <row r="19" spans="1:5" x14ac:dyDescent="0.35">
      <c r="A19" s="77"/>
      <c r="B19" s="47">
        <v>2025</v>
      </c>
      <c r="C19" s="47">
        <v>2024</v>
      </c>
    </row>
    <row r="20" spans="1:5" x14ac:dyDescent="0.35">
      <c r="A20" s="46" t="s">
        <v>82</v>
      </c>
      <c r="B20" s="12">
        <f>AL4</f>
        <v>39.428999999999995</v>
      </c>
      <c r="C20" s="12">
        <f>AM4</f>
        <v>30.954000000000008</v>
      </c>
      <c r="D20" s="53">
        <f>B20/B$25</f>
        <v>0.43865477644365219</v>
      </c>
      <c r="E20" s="53">
        <f>C20/C$25</f>
        <v>0.34094551414438146</v>
      </c>
    </row>
    <row r="21" spans="1:5" x14ac:dyDescent="0.35">
      <c r="A21" s="46" t="s">
        <v>151</v>
      </c>
      <c r="B21" s="12">
        <f t="shared" ref="B21:C21" si="20">AL5</f>
        <v>18.905999999999995</v>
      </c>
      <c r="C21" s="12">
        <f t="shared" si="20"/>
        <v>11.437999999999999</v>
      </c>
      <c r="D21" s="53">
        <f t="shared" ref="D21:E24" si="21">B21/B$25</f>
        <v>0.21033267907995859</v>
      </c>
      <c r="E21" s="53">
        <f t="shared" si="21"/>
        <v>0.12598484172589758</v>
      </c>
    </row>
    <row r="22" spans="1:5" x14ac:dyDescent="0.35">
      <c r="A22" s="46" t="s">
        <v>169</v>
      </c>
      <c r="B22" s="12">
        <f t="shared" ref="B22:C22" si="22">AL6</f>
        <v>21.741175000000002</v>
      </c>
      <c r="C22" s="12">
        <f t="shared" si="22"/>
        <v>9.7006999999999994</v>
      </c>
      <c r="D22" s="53">
        <f t="shared" si="21"/>
        <v>0.24187451518545541</v>
      </c>
      <c r="E22" s="53">
        <f t="shared" si="21"/>
        <v>0.10684920039608452</v>
      </c>
    </row>
    <row r="23" spans="1:5" x14ac:dyDescent="0.35">
      <c r="A23" s="46" t="s">
        <v>171</v>
      </c>
      <c r="B23" s="12">
        <f t="shared" ref="B23:C23" si="23">AL7</f>
        <v>0.48599999999999999</v>
      </c>
      <c r="C23" s="12">
        <f t="shared" si="23"/>
        <v>0.47200000000000003</v>
      </c>
      <c r="D23" s="53">
        <f t="shared" si="21"/>
        <v>5.4068381483581875E-3</v>
      </c>
      <c r="E23" s="53">
        <f t="shared" si="21"/>
        <v>5.1988848832508891E-3</v>
      </c>
    </row>
    <row r="24" spans="1:5" x14ac:dyDescent="0.35">
      <c r="A24" s="46" t="s">
        <v>170</v>
      </c>
      <c r="B24" s="12">
        <f t="shared" ref="B24:C24" si="24">AL8</f>
        <v>9.3239999999999981</v>
      </c>
      <c r="C24" s="12">
        <f t="shared" si="24"/>
        <v>38.224000000000004</v>
      </c>
      <c r="D24" s="53">
        <f t="shared" si="21"/>
        <v>0.10373119114257558</v>
      </c>
      <c r="E24" s="53">
        <f t="shared" si="21"/>
        <v>0.42102155885038556</v>
      </c>
    </row>
    <row r="25" spans="1:5" ht="18.5" x14ac:dyDescent="0.45">
      <c r="A25" s="48" t="s">
        <v>24</v>
      </c>
      <c r="B25" s="12">
        <f t="shared" ref="B25:C25" si="25">AL9</f>
        <v>89.886174999999994</v>
      </c>
      <c r="C25" s="12">
        <f t="shared" si="25"/>
        <v>90.788700000000006</v>
      </c>
    </row>
  </sheetData>
  <mergeCells count="22">
    <mergeCell ref="L2:M2"/>
    <mergeCell ref="V2:W2"/>
    <mergeCell ref="T2:U2"/>
    <mergeCell ref="R2:S2"/>
    <mergeCell ref="P2:Q2"/>
    <mergeCell ref="N2:O2"/>
    <mergeCell ref="A18:A19"/>
    <mergeCell ref="B18:C18"/>
    <mergeCell ref="A2:A3"/>
    <mergeCell ref="B2:C2"/>
    <mergeCell ref="AL2:AM2"/>
    <mergeCell ref="AJ2:AK2"/>
    <mergeCell ref="AH2:AI2"/>
    <mergeCell ref="AF2:AG2"/>
    <mergeCell ref="AD2:AE2"/>
    <mergeCell ref="AB2:AC2"/>
    <mergeCell ref="Z2:AA2"/>
    <mergeCell ref="X2:Y2"/>
    <mergeCell ref="J2:K2"/>
    <mergeCell ref="H2:I2"/>
    <mergeCell ref="F2:G2"/>
    <mergeCell ref="D2:E2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C207C-C20D-4BAA-A8FF-758EE9D83E8D}">
  <dimension ref="A1:G23"/>
  <sheetViews>
    <sheetView tabSelected="1" zoomScale="61" zoomScaleNormal="40" workbookViewId="0">
      <selection activeCell="E23" sqref="D23:E23"/>
    </sheetView>
  </sheetViews>
  <sheetFormatPr defaultRowHeight="14.5" x14ac:dyDescent="0.35"/>
  <cols>
    <col min="1" max="1" width="27.453125" bestFit="1" customWidth="1"/>
    <col min="2" max="2" width="33.54296875" bestFit="1" customWidth="1"/>
    <col min="3" max="3" width="33.54296875" customWidth="1"/>
    <col min="4" max="4" width="14.90625" customWidth="1"/>
    <col min="5" max="5" width="15.81640625" customWidth="1"/>
    <col min="6" max="6" width="24.1796875" bestFit="1" customWidth="1"/>
    <col min="7" max="7" width="24.1796875" customWidth="1"/>
  </cols>
  <sheetData>
    <row r="1" spans="1:7" x14ac:dyDescent="0.35">
      <c r="A1" s="57" t="s">
        <v>172</v>
      </c>
    </row>
    <row r="4" spans="1:7" x14ac:dyDescent="0.35">
      <c r="A4" s="46" t="s">
        <v>204</v>
      </c>
      <c r="B4" s="83" t="s">
        <v>205</v>
      </c>
      <c r="C4" s="83"/>
      <c r="D4" s="83" t="s">
        <v>206</v>
      </c>
      <c r="E4" s="83"/>
      <c r="F4" s="83" t="s">
        <v>207</v>
      </c>
      <c r="G4" s="83"/>
    </row>
    <row r="5" spans="1:7" x14ac:dyDescent="0.35">
      <c r="A5" s="46"/>
      <c r="B5" s="23">
        <v>2025</v>
      </c>
      <c r="C5" s="23">
        <v>2024</v>
      </c>
      <c r="D5" s="23">
        <v>2025</v>
      </c>
      <c r="E5" s="23">
        <v>2024</v>
      </c>
      <c r="F5" s="23">
        <v>2025</v>
      </c>
      <c r="G5" s="23">
        <v>2024</v>
      </c>
    </row>
    <row r="6" spans="1:7" x14ac:dyDescent="0.35">
      <c r="A6" s="4" t="s">
        <v>14</v>
      </c>
      <c r="B6" s="68">
        <v>9.0129999999999999</v>
      </c>
      <c r="C6" s="68">
        <v>7.2110000000000003</v>
      </c>
      <c r="D6" s="68">
        <v>1170</v>
      </c>
      <c r="E6" s="68">
        <v>1016</v>
      </c>
      <c r="F6" s="69">
        <f t="shared" ref="F6:G19" si="0">+B6/D6</f>
        <v>7.7034188034188029E-3</v>
      </c>
      <c r="G6" s="69">
        <f t="shared" si="0"/>
        <v>7.0974409448818897E-3</v>
      </c>
    </row>
    <row r="7" spans="1:7" x14ac:dyDescent="0.35">
      <c r="A7" s="4" t="s">
        <v>175</v>
      </c>
      <c r="B7" s="68">
        <v>8.2919999999999998</v>
      </c>
      <c r="C7" s="68">
        <v>7.1210000000000004</v>
      </c>
      <c r="D7" s="68">
        <v>2485</v>
      </c>
      <c r="E7" s="68">
        <v>1928</v>
      </c>
      <c r="F7" s="69">
        <f t="shared" si="0"/>
        <v>3.3368209255533196E-3</v>
      </c>
      <c r="G7" s="69">
        <f t="shared" si="0"/>
        <v>3.6934647302904566E-3</v>
      </c>
    </row>
    <row r="8" spans="1:7" x14ac:dyDescent="0.35">
      <c r="A8" s="4" t="s">
        <v>30</v>
      </c>
      <c r="B8" s="68">
        <v>3.8969999999999998</v>
      </c>
      <c r="C8" s="68">
        <v>2.3090000000000002</v>
      </c>
      <c r="D8" s="68">
        <v>422</v>
      </c>
      <c r="E8" s="68">
        <v>356</v>
      </c>
      <c r="F8" s="69">
        <f t="shared" si="0"/>
        <v>9.2345971563981034E-3</v>
      </c>
      <c r="G8" s="69">
        <f t="shared" si="0"/>
        <v>6.485955056179776E-3</v>
      </c>
    </row>
    <row r="9" spans="1:7" x14ac:dyDescent="0.35">
      <c r="A9" s="4" t="s">
        <v>19</v>
      </c>
      <c r="B9" s="68">
        <v>3.8959999999999999</v>
      </c>
      <c r="C9" s="68">
        <v>3.6459999999999999</v>
      </c>
      <c r="D9" s="68">
        <v>47</v>
      </c>
      <c r="E9" s="68">
        <v>39</v>
      </c>
      <c r="F9" s="69">
        <f t="shared" si="0"/>
        <v>8.2893617021276594E-2</v>
      </c>
      <c r="G9" s="69">
        <f t="shared" si="0"/>
        <v>9.3487179487179481E-2</v>
      </c>
    </row>
    <row r="10" spans="1:7" x14ac:dyDescent="0.35">
      <c r="A10" s="4" t="s">
        <v>11</v>
      </c>
      <c r="B10" s="68">
        <v>3.4449999999999998</v>
      </c>
      <c r="C10" s="68">
        <v>2.7310000000000003</v>
      </c>
      <c r="D10" s="68">
        <v>667</v>
      </c>
      <c r="E10" s="68">
        <v>540</v>
      </c>
      <c r="F10" s="69">
        <f t="shared" si="0"/>
        <v>5.1649175412293849E-3</v>
      </c>
      <c r="G10" s="69">
        <f t="shared" si="0"/>
        <v>5.057407407407408E-3</v>
      </c>
    </row>
    <row r="11" spans="1:7" x14ac:dyDescent="0.35">
      <c r="A11" s="4" t="s">
        <v>179</v>
      </c>
      <c r="B11" s="68">
        <v>1.956</v>
      </c>
      <c r="C11" s="68">
        <v>1.6120000000000001</v>
      </c>
      <c r="D11" s="68">
        <v>532</v>
      </c>
      <c r="E11" s="68">
        <v>400</v>
      </c>
      <c r="F11" s="69">
        <f t="shared" si="0"/>
        <v>3.6766917293233081E-3</v>
      </c>
      <c r="G11" s="69">
        <f t="shared" si="0"/>
        <v>4.0300000000000006E-3</v>
      </c>
    </row>
    <row r="12" spans="1:7" x14ac:dyDescent="0.35">
      <c r="A12" s="4" t="s">
        <v>180</v>
      </c>
      <c r="B12" s="68">
        <v>1.671</v>
      </c>
      <c r="C12" s="68">
        <v>1.0249999999999999</v>
      </c>
      <c r="D12" s="68">
        <v>471</v>
      </c>
      <c r="E12" s="68">
        <v>293</v>
      </c>
      <c r="F12" s="69">
        <f t="shared" si="0"/>
        <v>3.5477707006369426E-3</v>
      </c>
      <c r="G12" s="69">
        <f t="shared" si="0"/>
        <v>3.4982935153583614E-3</v>
      </c>
    </row>
    <row r="13" spans="1:7" x14ac:dyDescent="0.35">
      <c r="A13" s="4" t="s">
        <v>16</v>
      </c>
      <c r="B13" s="68">
        <v>1.5019999999999998</v>
      </c>
      <c r="C13" s="68">
        <v>1.0359999999999998</v>
      </c>
      <c r="D13" s="68">
        <v>745</v>
      </c>
      <c r="E13" s="68">
        <v>789</v>
      </c>
      <c r="F13" s="69">
        <f t="shared" si="0"/>
        <v>2.0161073825503352E-3</v>
      </c>
      <c r="G13" s="69">
        <f t="shared" si="0"/>
        <v>1.3130544993662863E-3</v>
      </c>
    </row>
    <row r="14" spans="1:7" x14ac:dyDescent="0.35">
      <c r="A14" s="4" t="s">
        <v>173</v>
      </c>
      <c r="B14" s="68">
        <v>1.2210000000000001</v>
      </c>
      <c r="C14" s="68">
        <v>1.0529999999999999</v>
      </c>
      <c r="D14" s="68">
        <v>123</v>
      </c>
      <c r="E14" s="68">
        <v>125</v>
      </c>
      <c r="F14" s="69">
        <f t="shared" si="0"/>
        <v>9.9268292682926831E-3</v>
      </c>
      <c r="G14" s="69">
        <f t="shared" si="0"/>
        <v>8.4239999999999992E-3</v>
      </c>
    </row>
    <row r="15" spans="1:7" x14ac:dyDescent="0.35">
      <c r="A15" s="58" t="s">
        <v>181</v>
      </c>
      <c r="B15" s="70">
        <v>1.2170000000000001</v>
      </c>
      <c r="C15" s="70">
        <v>0.96399999999999997</v>
      </c>
      <c r="D15" s="70">
        <v>379</v>
      </c>
      <c r="E15" s="70">
        <v>304</v>
      </c>
      <c r="F15" s="71">
        <f t="shared" si="0"/>
        <v>3.211081794195251E-3</v>
      </c>
      <c r="G15" s="71">
        <f t="shared" si="0"/>
        <v>3.1710526315789473E-3</v>
      </c>
    </row>
    <row r="16" spans="1:7" x14ac:dyDescent="0.35">
      <c r="A16" s="4" t="s">
        <v>174</v>
      </c>
      <c r="B16" s="68">
        <v>1.0589999999999999</v>
      </c>
      <c r="C16" s="68">
        <v>0.78300000000000003</v>
      </c>
      <c r="D16" s="68">
        <v>288</v>
      </c>
      <c r="E16" s="68">
        <v>239</v>
      </c>
      <c r="F16" s="69">
        <f t="shared" si="0"/>
        <v>3.677083333333333E-3</v>
      </c>
      <c r="G16" s="69">
        <f t="shared" si="0"/>
        <v>3.276150627615063E-3</v>
      </c>
    </row>
    <row r="17" spans="1:7" x14ac:dyDescent="0.35">
      <c r="A17" s="4" t="s">
        <v>178</v>
      </c>
      <c r="B17" s="68">
        <v>0.89800000000000002</v>
      </c>
      <c r="C17" s="68">
        <v>0.70399999999999996</v>
      </c>
      <c r="D17" s="68">
        <v>223</v>
      </c>
      <c r="E17" s="68">
        <v>176</v>
      </c>
      <c r="F17" s="69">
        <f t="shared" si="0"/>
        <v>4.0269058295964123E-3</v>
      </c>
      <c r="G17" s="69">
        <f t="shared" si="0"/>
        <v>4.0000000000000001E-3</v>
      </c>
    </row>
    <row r="18" spans="1:7" x14ac:dyDescent="0.35">
      <c r="A18" s="4" t="s">
        <v>177</v>
      </c>
      <c r="B18" s="68">
        <v>0.85500000000000009</v>
      </c>
      <c r="C18" s="68">
        <v>0.34200000000000003</v>
      </c>
      <c r="D18" s="68">
        <v>130</v>
      </c>
      <c r="E18" s="68">
        <v>63</v>
      </c>
      <c r="F18" s="69">
        <f t="shared" si="0"/>
        <v>6.5769230769230774E-3</v>
      </c>
      <c r="G18" s="69">
        <f t="shared" si="0"/>
        <v>5.4285714285714293E-3</v>
      </c>
    </row>
    <row r="19" spans="1:7" ht="16" hidden="1" customHeight="1" x14ac:dyDescent="0.35">
      <c r="A19" s="4" t="s">
        <v>176</v>
      </c>
      <c r="B19" s="68">
        <v>0</v>
      </c>
      <c r="C19" s="68">
        <v>0</v>
      </c>
      <c r="D19" s="68">
        <v>0</v>
      </c>
      <c r="E19" s="68">
        <v>0</v>
      </c>
      <c r="F19" s="69" t="e">
        <f t="shared" si="0"/>
        <v>#DIV/0!</v>
      </c>
      <c r="G19" s="69" t="e">
        <f t="shared" si="0"/>
        <v>#DIV/0!</v>
      </c>
    </row>
    <row r="20" spans="1:7" x14ac:dyDescent="0.35">
      <c r="A20" s="4" t="s">
        <v>13</v>
      </c>
      <c r="B20" s="68">
        <v>5.1999999999999998E-2</v>
      </c>
      <c r="C20" s="68">
        <v>5.0999999999999997E-2</v>
      </c>
      <c r="D20" s="68">
        <v>10</v>
      </c>
      <c r="E20" s="68">
        <v>10</v>
      </c>
      <c r="F20" s="69">
        <f t="shared" ref="F20:G22" si="1">+B20/D20</f>
        <v>5.1999999999999998E-3</v>
      </c>
      <c r="G20" s="69">
        <f t="shared" si="1"/>
        <v>5.0999999999999995E-3</v>
      </c>
    </row>
    <row r="21" spans="1:7" x14ac:dyDescent="0.35">
      <c r="A21" s="4" t="s">
        <v>185</v>
      </c>
      <c r="B21" s="68">
        <v>0.13500000000000001</v>
      </c>
      <c r="C21" s="68">
        <v>0.109</v>
      </c>
      <c r="D21" s="68">
        <v>2</v>
      </c>
      <c r="E21" s="68">
        <v>3</v>
      </c>
      <c r="F21" s="69">
        <f t="shared" si="1"/>
        <v>6.7500000000000004E-2</v>
      </c>
      <c r="G21" s="69">
        <f t="shared" si="1"/>
        <v>3.6333333333333336E-2</v>
      </c>
    </row>
    <row r="22" spans="1:7" x14ac:dyDescent="0.35">
      <c r="A22" s="4" t="s">
        <v>184</v>
      </c>
      <c r="B22" s="68">
        <v>0.107</v>
      </c>
      <c r="C22" s="68">
        <v>0.1</v>
      </c>
      <c r="D22" s="68">
        <v>60</v>
      </c>
      <c r="E22" s="68">
        <v>38</v>
      </c>
      <c r="F22" s="69">
        <f t="shared" si="1"/>
        <v>1.7833333333333334E-3</v>
      </c>
      <c r="G22" s="69">
        <f t="shared" si="1"/>
        <v>2.631578947368421E-3</v>
      </c>
    </row>
    <row r="23" spans="1:7" ht="18.5" x14ac:dyDescent="0.45">
      <c r="A23" s="48" t="s">
        <v>183</v>
      </c>
      <c r="B23" s="72">
        <f>SUM(B6:B20)</f>
        <v>38.973999999999997</v>
      </c>
      <c r="C23" s="72">
        <f>SUM(C6:C20)</f>
        <v>30.588000000000001</v>
      </c>
      <c r="D23" s="72">
        <f>SUM(D6:D22)</f>
        <v>7754</v>
      </c>
      <c r="E23" s="72">
        <f>SUM(E6:E22)</f>
        <v>6319</v>
      </c>
      <c r="F23" s="73">
        <f>B23/D23</f>
        <v>5.0263090018055189E-3</v>
      </c>
      <c r="G23" s="73">
        <f>C23/E23</f>
        <v>4.8406393416679854E-3</v>
      </c>
    </row>
  </sheetData>
  <mergeCells count="3">
    <mergeCell ref="B4:C4"/>
    <mergeCell ref="D4:E4"/>
    <mergeCell ref="F4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Données financières brutes</vt:lpstr>
      <vt:lpstr>Données financières 2025</vt:lpstr>
      <vt:lpstr>CA</vt:lpstr>
      <vt:lpstr>ROE</vt:lpstr>
      <vt:lpstr>Ch. Personnel</vt:lpstr>
      <vt:lpstr>Marge Nette</vt:lpstr>
      <vt:lpstr>Poids Immob. Fin.</vt:lpstr>
      <vt:lpstr>Coeff. Exploit.</vt:lpstr>
      <vt:lpstr>Poids Prod. Placement</vt:lpstr>
      <vt:lpstr>Poids Prod. Plac. Rés</vt:lpstr>
      <vt:lpstr>Comp. CA</vt:lpstr>
      <vt:lpstr>RECAP</vt:lpstr>
      <vt:lpstr>Autres analyses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malek.kechrid2004@gmail.com</dc:creator>
  <cp:lastModifiedBy>aminebessaad.ieee@gmail.com</cp:lastModifiedBy>
  <dcterms:created xsi:type="dcterms:W3CDTF">2026-05-29T08:19:40Z</dcterms:created>
  <dcterms:modified xsi:type="dcterms:W3CDTF">2026-06-26T15:15:06Z</dcterms:modified>
</cp:coreProperties>
</file>